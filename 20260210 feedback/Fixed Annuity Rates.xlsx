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8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410d7734020e5328/1406 copied over 10022020/Annuities/AnnuityNest/Silvan/"/>
    </mc:Choice>
  </mc:AlternateContent>
  <xr:revisionPtr revIDLastSave="59" documentId="13_ncr:1_{D6DE773B-58DF-4F08-B983-4132371C4F72}" xr6:coauthVersionLast="47" xr6:coauthVersionMax="47" xr10:uidLastSave="{84B69233-6AB7-48D6-9048-55E1F741D8CB}"/>
  <bookViews>
    <workbookView xWindow="38280" yWindow="960" windowWidth="29040" windowHeight="15720" firstSheet="1" activeTab="1" xr2:uid="{6522121A-ED18-414A-88A1-CFA27BC7E0A9}"/>
  </bookViews>
  <sheets>
    <sheet name="ORIGINAL DATA" sheetId="2" r:id="rId1"/>
    <sheet name="FORMATTED 1" sheetId="3" r:id="rId2"/>
  </sheets>
  <definedNames>
    <definedName name="_xlnm._FilterDatabase" localSheetId="1" hidden="1">'FORMATTED 1'!$A$9:$K$179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157" i="3" l="1"/>
  <c r="K19" i="3"/>
  <c r="K121" i="3"/>
  <c r="K12" i="3"/>
  <c r="K41" i="3"/>
  <c r="K129" i="3"/>
  <c r="K144" i="3"/>
  <c r="K84" i="3"/>
  <c r="K71" i="3"/>
  <c r="K122" i="3"/>
  <c r="K85" i="3"/>
  <c r="K32" i="3"/>
  <c r="K33" i="3"/>
  <c r="K20" i="3"/>
  <c r="K46" i="3"/>
  <c r="K58" i="3"/>
  <c r="K34" i="3"/>
  <c r="K86" i="3"/>
  <c r="K24" i="3"/>
  <c r="K25" i="3"/>
  <c r="K35" i="3"/>
  <c r="K171" i="3"/>
  <c r="K174" i="3"/>
  <c r="K172" i="3"/>
  <c r="K87" i="3"/>
  <c r="K42" i="3"/>
  <c r="K59" i="3"/>
  <c r="K49" i="3"/>
  <c r="K60" i="3"/>
  <c r="K148" i="3"/>
  <c r="K50" i="3"/>
  <c r="K130" i="3"/>
  <c r="K113" i="3"/>
  <c r="K100" i="3"/>
  <c r="K47" i="3"/>
  <c r="K26" i="3"/>
  <c r="K27" i="3"/>
  <c r="K15" i="3"/>
  <c r="K16" i="3"/>
  <c r="K55" i="3"/>
  <c r="K21" i="3"/>
  <c r="K66" i="3"/>
  <c r="K28" i="3"/>
  <c r="K178" i="3"/>
  <c r="K88" i="3"/>
  <c r="K93" i="3"/>
  <c r="K101" i="3"/>
  <c r="K123" i="3"/>
  <c r="K13" i="3"/>
  <c r="K51" i="3"/>
  <c r="K29" i="3"/>
  <c r="K10" i="3"/>
  <c r="K163" i="3"/>
  <c r="K102" i="3"/>
  <c r="K176" i="3"/>
  <c r="K94" i="3"/>
  <c r="K158" i="3"/>
  <c r="K114" i="3"/>
  <c r="K103" i="3"/>
  <c r="K164" i="3"/>
  <c r="K89" i="3"/>
  <c r="K72" i="3"/>
  <c r="K95" i="3"/>
  <c r="K90" i="3"/>
  <c r="K36" i="3"/>
  <c r="K37" i="3"/>
  <c r="K22" i="3"/>
  <c r="K52" i="3"/>
  <c r="K73" i="3"/>
  <c r="K53" i="3"/>
  <c r="K115" i="3"/>
  <c r="K30" i="3"/>
  <c r="K116" i="3"/>
  <c r="K74" i="3"/>
  <c r="K117" i="3"/>
  <c r="K162" i="3"/>
  <c r="K160" i="3"/>
  <c r="K166" i="3"/>
  <c r="K104" i="3"/>
  <c r="K48" i="3"/>
  <c r="K105" i="3"/>
  <c r="K17" i="3"/>
  <c r="K96" i="3"/>
  <c r="K173" i="3"/>
  <c r="K14" i="3"/>
  <c r="K135" i="3"/>
  <c r="K54" i="3"/>
  <c r="K131" i="3"/>
  <c r="K118" i="3"/>
  <c r="K106" i="3"/>
  <c r="K67" i="3"/>
  <c r="K18" i="3"/>
  <c r="K170" i="3"/>
  <c r="K156" i="3"/>
  <c r="K38" i="3"/>
  <c r="K43" i="3"/>
  <c r="K56" i="3"/>
  <c r="K44" i="3"/>
  <c r="K39" i="3"/>
  <c r="K61" i="3"/>
  <c r="K45" i="3"/>
  <c r="K75" i="3"/>
  <c r="K31" i="3"/>
  <c r="K179" i="3"/>
  <c r="K91" i="3"/>
  <c r="K97" i="3"/>
  <c r="K107" i="3"/>
  <c r="K124" i="3"/>
  <c r="K23" i="3"/>
  <c r="K68" i="3"/>
  <c r="K40" i="3"/>
  <c r="K11" i="3"/>
  <c r="K153" i="3"/>
  <c r="K76" i="3"/>
  <c r="K132" i="3"/>
  <c r="K167" i="3"/>
  <c r="K133" i="3"/>
  <c r="K136" i="3"/>
  <c r="K175" i="3"/>
  <c r="K134" i="3"/>
  <c r="K137" i="3"/>
  <c r="K151" i="3"/>
  <c r="K119" i="3"/>
  <c r="K108" i="3"/>
  <c r="K159" i="3"/>
  <c r="K77" i="3"/>
  <c r="K111" i="3"/>
  <c r="K64" i="3"/>
  <c r="K112" i="3"/>
  <c r="K65" i="3"/>
  <c r="K78" i="3"/>
  <c r="K79" i="3"/>
  <c r="K62" i="3"/>
  <c r="K98" i="3"/>
  <c r="K109" i="3"/>
  <c r="K80" i="3"/>
  <c r="K138" i="3"/>
  <c r="K81" i="3"/>
  <c r="K145" i="3"/>
  <c r="K139" i="3"/>
  <c r="K154" i="3"/>
  <c r="K161" i="3"/>
  <c r="K140" i="3"/>
  <c r="K141" i="3"/>
  <c r="K146" i="3"/>
  <c r="K57" i="3"/>
  <c r="K127" i="3"/>
  <c r="K177" i="3"/>
  <c r="K142" i="3"/>
  <c r="K149" i="3"/>
  <c r="K155" i="3"/>
  <c r="K125" i="3"/>
  <c r="K120" i="3"/>
  <c r="K99" i="3"/>
  <c r="K128" i="3"/>
  <c r="K69" i="3"/>
  <c r="K92" i="3"/>
  <c r="K82" i="3"/>
  <c r="K110" i="3"/>
  <c r="K70" i="3"/>
  <c r="K143" i="3"/>
  <c r="K147" i="3"/>
  <c r="K150" i="3"/>
  <c r="K152" i="3"/>
  <c r="K63" i="3"/>
  <c r="K126" i="3"/>
  <c r="K83" i="3"/>
  <c r="K165" i="3"/>
  <c r="K169" i="3"/>
  <c r="K168" i="3"/>
</calcChain>
</file>

<file path=xl/sharedStrings.xml><?xml version="1.0" encoding="utf-8"?>
<sst xmlns="http://schemas.openxmlformats.org/spreadsheetml/2006/main" count="1158" uniqueCount="188">
  <si>
    <t>Company Name</t>
  </si>
  <si>
    <t>Product Name</t>
  </si>
  <si>
    <t>Product Type</t>
  </si>
  <si>
    <t>Premium Type</t>
  </si>
  <si>
    <t>Rate Term</t>
  </si>
  <si>
    <r>
      <t>Min. Contrib.</t>
    </r>
    <r>
      <rPr>
        <b/>
        <sz val="12"/>
        <color rgb="FF000000"/>
        <rFont val="Calibri"/>
        <family val="2"/>
      </rPr>
      <t>1</t>
    </r>
  </si>
  <si>
    <t>Min. Rate</t>
  </si>
  <si>
    <t>Base Rate</t>
  </si>
  <si>
    <t>Bonus Rate</t>
  </si>
  <si>
    <r>
      <t>Yield to Surr.</t>
    </r>
    <r>
      <rPr>
        <b/>
        <sz val="12"/>
        <color rgb="FF000000"/>
        <rFont val="Calibri"/>
        <family val="2"/>
      </rPr>
      <t>2</t>
    </r>
  </si>
  <si>
    <t>Surrender Period</t>
  </si>
  <si>
    <t>10 Year Rate Term</t>
  </si>
  <si>
    <t>Integrity Life Insurance Company</t>
  </si>
  <si>
    <t>New Momentum II</t>
  </si>
  <si>
    <t>MYG/CD</t>
  </si>
  <si>
    <t>Flexible</t>
  </si>
  <si>
    <t>MultiVantage</t>
  </si>
  <si>
    <t>Single</t>
  </si>
  <si>
    <t>10 Year</t>
  </si>
  <si>
    <t>Lincoln National Life Insurance Company</t>
  </si>
  <si>
    <t>Lincoln MYGuarantee Plus</t>
  </si>
  <si>
    <t>Nationwide Life Insurance Company</t>
  </si>
  <si>
    <t>Nationwide Platinum Edge</t>
  </si>
  <si>
    <t>Reliance Standard Life Insurance Company</t>
  </si>
  <si>
    <t>Reliance Guarantee 10 Year Fixed Annuity</t>
  </si>
  <si>
    <t>9 Year Rate Term</t>
  </si>
  <si>
    <t>Minnesota Life Insurance Company - a Securian Company</t>
  </si>
  <si>
    <t>SecureOption Choice</t>
  </si>
  <si>
    <t>8 Year Rate Term</t>
  </si>
  <si>
    <t>7 Year Rate Term</t>
  </si>
  <si>
    <t>American General Life Insurance Company</t>
  </si>
  <si>
    <t>American Pathway Fixed 7 Annuity</t>
  </si>
  <si>
    <t>MVA option: varies by state. With ROP. GMIR 1% during surrender period and 0.25% thereafter.</t>
  </si>
  <si>
    <t>MVA option: varies by state. Without ROP. GMIR 1% during surrender period and 0.25% thereafter.</t>
  </si>
  <si>
    <t>With ROP. GMIR 1% during surrender period and 0.25% thereafter.</t>
  </si>
  <si>
    <t>Without ROP. GMIR 1% during surrender period and 0.25% thereafter.</t>
  </si>
  <si>
    <t>American National Insurance Company</t>
  </si>
  <si>
    <t>Palladium Match MYG</t>
  </si>
  <si>
    <t>Athene Annuity &amp; Life Assurance Company</t>
  </si>
  <si>
    <t>Athene MYG 7</t>
  </si>
  <si>
    <t>7-Year: MYGA Strategy</t>
  </si>
  <si>
    <t>Athene MYG MVA 7</t>
  </si>
  <si>
    <t>7-Year MYGA Strategy; With MVA.</t>
  </si>
  <si>
    <t>Athene MYG ROP 7</t>
  </si>
  <si>
    <t>CMFG Life Insurance Company</t>
  </si>
  <si>
    <t>TruStage MaxProtect Fixed Annuity</t>
  </si>
  <si>
    <t>7-Year</t>
  </si>
  <si>
    <t>7-Year: With MVA</t>
  </si>
  <si>
    <t>7-Year: With ROP</t>
  </si>
  <si>
    <t>Delaware Life</t>
  </si>
  <si>
    <t>Apex Control MYGA</t>
  </si>
  <si>
    <t>Eagle Life Insurance Company</t>
  </si>
  <si>
    <t>Eagle Guarantee Focus 7</t>
  </si>
  <si>
    <t>Global Atlantic</t>
  </si>
  <si>
    <t>SecureFore 7</t>
  </si>
  <si>
    <t>Without ROP; GMIR is 0.1% after initial rate term.</t>
  </si>
  <si>
    <t>7 Year</t>
  </si>
  <si>
    <t>SPDA Series II</t>
  </si>
  <si>
    <t>Jackson National Life Insurance Company</t>
  </si>
  <si>
    <t>RateProtector</t>
  </si>
  <si>
    <t>Massachusetts Mutual Life Insurance Company</t>
  </si>
  <si>
    <t>Mass Mutual Premier Voyage</t>
  </si>
  <si>
    <t>Single w/ Addl</t>
  </si>
  <si>
    <t>Midland National Life Insurance Company (Sammons Retirement Solutions)</t>
  </si>
  <si>
    <t>LiveWell Guarantee Max</t>
  </si>
  <si>
    <t>CA, DE and FL availability limited to 3 and 5 year terms.</t>
  </si>
  <si>
    <t>Nationwide Secure Growth</t>
  </si>
  <si>
    <t>7 Year term; 7 Year CDSC; With MVA</t>
  </si>
  <si>
    <t>7 Year term; 7 Year CDSC; Without MVA; With ROP</t>
  </si>
  <si>
    <t>New York Life Insurance Company</t>
  </si>
  <si>
    <t>New York Life Secure Term Choice Fixed Annuity II</t>
  </si>
  <si>
    <t>New York Life Secure Term MVA Fixed Annuity II</t>
  </si>
  <si>
    <t>Pacific Life Insurance Company</t>
  </si>
  <si>
    <t>Pacific Expedition 2</t>
  </si>
  <si>
    <t>Protective Life Insurance Company</t>
  </si>
  <si>
    <t>Protective Secure Saver Fixed Annuity</t>
  </si>
  <si>
    <t>Most States.</t>
  </si>
  <si>
    <t>Pruco Life Insurance Company</t>
  </si>
  <si>
    <t>WealthGuard MYGA</t>
  </si>
  <si>
    <t>Reliance Guarantee 7 Year Fixed Annuity</t>
  </si>
  <si>
    <t>S.USA Life Insurance Company</t>
  </si>
  <si>
    <t>Select Choice Plus - Option 1 (7 year) MVA</t>
  </si>
  <si>
    <t>Base Policy</t>
  </si>
  <si>
    <t>Select Choice Plus - Option 2 (7 year) MVA</t>
  </si>
  <si>
    <t>Base Policy + ROP</t>
  </si>
  <si>
    <t>Select Choice Plus - Option 3 (7 year) MVA</t>
  </si>
  <si>
    <t>Base Policy + PFW</t>
  </si>
  <si>
    <t>Select Choice Plus - Option 4 (7 year) MVA</t>
  </si>
  <si>
    <t>Base Policy + ROP + PFW</t>
  </si>
  <si>
    <t>Security Benefit Life Insurance Company</t>
  </si>
  <si>
    <t>Advanced Choice Annuity</t>
  </si>
  <si>
    <t>RateTrack Annuity</t>
  </si>
  <si>
    <t>Trad.</t>
  </si>
  <si>
    <t>7-year CDSC: 3 Month CME Term SOFR Reference Rate: 3.67%. Cap is 6.0%.</t>
  </si>
  <si>
    <t>Standard Insurance Company</t>
  </si>
  <si>
    <t>Future Value Annuity 7 (LPL)</t>
  </si>
  <si>
    <t>Option 1. No optional withdrawal provisions</t>
  </si>
  <si>
    <t>Option 2. Interest only withdrawal</t>
  </si>
  <si>
    <t>Option 3. 10% FPW</t>
  </si>
  <si>
    <t>Option 4. FPW and ROP</t>
  </si>
  <si>
    <t>Symetra Life Insurance Company</t>
  </si>
  <si>
    <t>Symetra Select Max 7</t>
  </si>
  <si>
    <t>Symetra Select Pro 7</t>
  </si>
  <si>
    <t>With ROP</t>
  </si>
  <si>
    <t>Without ROP; max issue age 85.</t>
  </si>
  <si>
    <t>United Life Insurance Company</t>
  </si>
  <si>
    <t>Performance SPDA</t>
  </si>
  <si>
    <t>SPDA-7</t>
  </si>
  <si>
    <t>Western-Southern Life Assurance Company</t>
  </si>
  <si>
    <t>SmartSelect</t>
  </si>
  <si>
    <t>6 Year Rate Term</t>
  </si>
  <si>
    <t>Guardian Insurance &amp; Annuity Company - The</t>
  </si>
  <si>
    <t>Guardian Fixed Target Annuity</t>
  </si>
  <si>
    <t>5 Year Rate Term</t>
  </si>
  <si>
    <t>American Pathway Fixed 5 Annuity</t>
  </si>
  <si>
    <t>Athene MYG 5</t>
  </si>
  <si>
    <t>5-Year: MYGA Strategy</t>
  </si>
  <si>
    <t>Athene MYG MVA 5</t>
  </si>
  <si>
    <t>5-Year MYGA Strategy; With MVA.</t>
  </si>
  <si>
    <t>Athene MYG ROP 5</t>
  </si>
  <si>
    <t>5-Year</t>
  </si>
  <si>
    <t>5-Year: With MVA</t>
  </si>
  <si>
    <t>5-Year: With ROP</t>
  </si>
  <si>
    <t>Eagle Guarantee Focus 5</t>
  </si>
  <si>
    <t>SecureFore 5</t>
  </si>
  <si>
    <t>Without ROP; GMIR is 0.1% after initial rate term</t>
  </si>
  <si>
    <t>5 Year</t>
  </si>
  <si>
    <t>5 Year term; 5 Year CDSC; With MVA</t>
  </si>
  <si>
    <t>5 Year term; 5 Year CDSC; Without MVA; With ROP</t>
  </si>
  <si>
    <t>5 Year term; 7 Year CDSC; With MVA</t>
  </si>
  <si>
    <t>5 Year term; 7 Year CDSC; Without MVA; With ROP</t>
  </si>
  <si>
    <t>Protective Series Balance Annuity</t>
  </si>
  <si>
    <t>Without ROP</t>
  </si>
  <si>
    <t>Eleos - MVA</t>
  </si>
  <si>
    <t>Eleos - SP</t>
  </si>
  <si>
    <t>Reliance Guarantee 5 Year Fixed Annuity</t>
  </si>
  <si>
    <t>Select Choice Plus - Option 1 (5 year) MVA</t>
  </si>
  <si>
    <t>Select Choice Plus - Option 2 (5 year) MVA</t>
  </si>
  <si>
    <t>Select Choice Plus - Option 3 (5 year) MVA</t>
  </si>
  <si>
    <t>Select Choice Plus - Option 4 (5 year) MVA</t>
  </si>
  <si>
    <t>5-year CDSC: 3 Month CME Term SOFR Reference Rate: 3.67%. Cap is 6.0%</t>
  </si>
  <si>
    <t>Future Value Annuity 5 (LPL)</t>
  </si>
  <si>
    <t>Symetra Select Max 5</t>
  </si>
  <si>
    <t>Symetra Select Pro 5</t>
  </si>
  <si>
    <t>SPDA-5</t>
  </si>
  <si>
    <t>4 Year Rate Term</t>
  </si>
  <si>
    <t>American Pathway Fixed 4 Annuity</t>
  </si>
  <si>
    <t>4 Year</t>
  </si>
  <si>
    <t>Mass Mutual Stable Voyage</t>
  </si>
  <si>
    <t>Non-NY</t>
  </si>
  <si>
    <t>4 Year term; With MVA</t>
  </si>
  <si>
    <t>4 Year term; Without MVA</t>
  </si>
  <si>
    <t>4 Year term; Without MVA; With ROP</t>
  </si>
  <si>
    <t>3 Year Rate Term</t>
  </si>
  <si>
    <t>American Pathway Fixed 3 Annuity</t>
  </si>
  <si>
    <t>Athene MYG 3</t>
  </si>
  <si>
    <t>3-Year: MYGA Strategy</t>
  </si>
  <si>
    <t>Athene MYG MVA 3</t>
  </si>
  <si>
    <t>3-Year: MYGA Strategy; With MVA</t>
  </si>
  <si>
    <t>Athene MYG ROP 3</t>
  </si>
  <si>
    <t>3-Year</t>
  </si>
  <si>
    <t>3-Year: With MVA</t>
  </si>
  <si>
    <t>3-Year: With ROP</t>
  </si>
  <si>
    <t>Eagle Guarantee Focus 3</t>
  </si>
  <si>
    <t>SecureFore 3</t>
  </si>
  <si>
    <t>Without ROP; Without MVA. GMIR is 0.1% after initial rate term</t>
  </si>
  <si>
    <t>3 Year term; With MVA</t>
  </si>
  <si>
    <t>3 Year term; Without MVA</t>
  </si>
  <si>
    <t>3 Year term; Without MVA; With ROP</t>
  </si>
  <si>
    <t>Select Choice Plus - Option 1 (3 year) MVA</t>
  </si>
  <si>
    <t>Select Choice Plus - Option 2 (3 year) MVA</t>
  </si>
  <si>
    <t>Select Choice Plus - Option 3 (3 year) MVA</t>
  </si>
  <si>
    <t>Select Choice Plus - Option 4 (3 year) MVA</t>
  </si>
  <si>
    <t>Future Value Annuity 3 (LPL)</t>
  </si>
  <si>
    <t>Symetra Select Max 3</t>
  </si>
  <si>
    <t>Symetra Select Pro 3</t>
  </si>
  <si>
    <t>SPDA-3</t>
  </si>
  <si>
    <t>Inputs from website</t>
  </si>
  <si>
    <t>Current Age</t>
  </si>
  <si>
    <t>Amount</t>
  </si>
  <si>
    <t>I would show all columns and all rows for output</t>
  </si>
  <si>
    <t>Sort</t>
  </si>
  <si>
    <t>Years</t>
  </si>
  <si>
    <t>Min. Contribution</t>
  </si>
  <si>
    <t>Yield to Surr</t>
  </si>
  <si>
    <t>Your result</t>
  </si>
  <si>
    <t>Midland National Life Insurance Company</t>
  </si>
  <si>
    <t>Minnesota Life Insurance Company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</si>
</sst>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6" formatCode="&quot;$&quot;#,##0_);[Red]\(&quot;$&quot;#,##0\)"/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* #,##0.000_);_(* \(#,##0.000\);_(* &quot;-&quot;??_);_(@_)"/>
  </numFmts>
  <fonts count="7">
    <font>
      <sz val="14"/>
      <color theme="1"/>
      <name val="Calibri"/>
      <family val="2"/>
    </font>
    <font>
      <sz val="14"/>
      <color theme="1"/>
      <name val="Calibri"/>
      <family val="2"/>
    </font>
    <font>
      <b/>
      <sz val="12"/>
      <color rgb="FF4169E1"/>
      <name val="Calibri"/>
      <family val="2"/>
    </font>
    <font>
      <b/>
      <sz val="12"/>
      <color rgb="FF000000"/>
      <name val="Calibri"/>
      <family val="2"/>
    </font>
    <font>
      <sz val="12"/>
      <color theme="1"/>
      <name val="Calibri"/>
      <family val="2"/>
    </font>
    <font>
      <sz val="12"/>
      <color rgb="FF000000"/>
      <name val="Calibri"/>
      <family val="2"/>
    </font>
    <font>
      <b/>
      <sz val="14"/>
      <color theme="1"/>
      <name val="Calibri"/>
      <family val="2"/>
    </font>
  </fonts>
  <fills count="7">
    <fill>
      <patternFill patternType="none"/>
    </fill>
    <fill>
      <patternFill patternType="gray125"/>
    </fill>
    <fill>
      <patternFill patternType="solid">
        <fgColor rgb="FFF5F5F5"/>
        <bgColor indexed="64"/>
      </patternFill>
    </fill>
    <fill>
      <patternFill patternType="solid">
        <fgColor rgb="FFF9F9F9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</cellStyleXfs>
  <cellXfs count="22">
    <xf numFmtId="0" fontId="0" fillId="0" borderId="0" xfId="0"/>
    <xf numFmtId="0" fontId="2" fillId="2" borderId="0" xfId="0" applyFont="1" applyFill="1" applyAlignment="1">
      <alignment horizontal="center" vertical="center"/>
    </xf>
    <xf numFmtId="0" fontId="5" fillId="3" borderId="0" xfId="0" applyFont="1" applyFill="1" applyAlignment="1">
      <alignment vertical="center"/>
    </xf>
    <xf numFmtId="6" fontId="5" fillId="3" borderId="0" xfId="0" applyNumberFormat="1" applyFont="1" applyFill="1" applyAlignment="1">
      <alignment vertical="center"/>
    </xf>
    <xf numFmtId="0" fontId="2" fillId="2" borderId="0" xfId="0" applyFont="1" applyFill="1" applyAlignment="1">
      <alignment horizontal="center" vertical="center" wrapText="1"/>
    </xf>
    <xf numFmtId="0" fontId="4" fillId="0" borderId="0" xfId="0" applyFont="1"/>
    <xf numFmtId="0" fontId="3" fillId="2" borderId="0" xfId="0" applyFont="1" applyFill="1" applyAlignment="1">
      <alignment horizontal="center" vertical="center" wrapText="1"/>
    </xf>
    <xf numFmtId="6" fontId="5" fillId="3" borderId="0" xfId="0" applyNumberFormat="1" applyFont="1" applyFill="1" applyAlignment="1">
      <alignment vertical="center" wrapText="1"/>
    </xf>
    <xf numFmtId="6" fontId="5" fillId="2" borderId="0" xfId="0" applyNumberFormat="1" applyFont="1" applyFill="1" applyAlignment="1">
      <alignment vertical="center" wrapText="1"/>
    </xf>
    <xf numFmtId="43" fontId="5" fillId="3" borderId="0" xfId="1" applyFont="1" applyFill="1" applyAlignment="1">
      <alignment vertical="center"/>
    </xf>
    <xf numFmtId="43" fontId="0" fillId="0" borderId="0" xfId="0" applyNumberFormat="1"/>
    <xf numFmtId="0" fontId="0" fillId="0" borderId="0" xfId="0" applyAlignment="1">
      <alignment horizontal="right"/>
    </xf>
    <xf numFmtId="164" fontId="5" fillId="3" borderId="0" xfId="1" applyNumberFormat="1" applyFont="1" applyFill="1" applyAlignment="1">
      <alignment vertical="center"/>
    </xf>
    <xf numFmtId="44" fontId="0" fillId="4" borderId="0" xfId="2" applyFont="1" applyFill="1" applyAlignment="1">
      <alignment horizontal="right"/>
    </xf>
    <xf numFmtId="0" fontId="5" fillId="2" borderId="0" xfId="0" applyFont="1" applyFill="1" applyAlignment="1">
      <alignment vertical="center" wrapText="1"/>
    </xf>
    <xf numFmtId="0" fontId="5" fillId="3" borderId="0" xfId="0" applyFont="1" applyFill="1" applyAlignment="1">
      <alignment vertical="center" wrapText="1"/>
    </xf>
    <xf numFmtId="0" fontId="0" fillId="6" borderId="0" xfId="0" applyFill="1" applyAlignment="1">
      <alignment horizontal="left"/>
    </xf>
    <xf numFmtId="0" fontId="0" fillId="6" borderId="0" xfId="0" applyFill="1"/>
    <xf numFmtId="0" fontId="5" fillId="2" borderId="0" xfId="0" applyFont="1" applyFill="1" applyAlignment="1">
      <alignment vertical="center" wrapText="1"/>
    </xf>
    <xf numFmtId="0" fontId="5" fillId="3" borderId="0" xfId="0" applyFont="1" applyFill="1" applyAlignment="1">
      <alignment vertical="center" wrapText="1"/>
    </xf>
    <xf numFmtId="0" fontId="3" fillId="0" borderId="0" xfId="0" applyFont="1" applyAlignment="1">
      <alignment vertical="center" wrapText="1"/>
    </xf>
    <xf numFmtId="0" fontId="6" fillId="5" borderId="0" xfId="0" applyFont="1" applyFill="1" applyAlignment="1">
      <alignment horizontal="center"/>
    </xf>
  </cellXfs>
  <cellStyles count="3">
    <cellStyle name="Comma" xfId="1" builtinId="3"/>
    <cellStyle name="Currency" xfId="2" builtinId="4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75BED58-4B47-408D-9072-8497D58AABEF}">
  <sheetPr codeName="Sheet2"/>
  <dimension ref="A1:L350"/>
  <sheetViews>
    <sheetView workbookViewId="0"/>
  </sheetViews>
  <sheetFormatPr defaultRowHeight="18"/>
  <cols>
    <col min="1" max="1" width="7.3984375" bestFit="1" customWidth="1"/>
    <col min="2" max="2" width="41.3984375" bestFit="1" customWidth="1"/>
    <col min="3" max="3" width="36" bestFit="1" customWidth="1"/>
    <col min="4" max="4" width="7.19921875" bestFit="1" customWidth="1"/>
    <col min="5" max="5" width="10.69921875" bestFit="1" customWidth="1"/>
    <col min="6" max="6" width="8" bestFit="1" customWidth="1"/>
    <col min="7" max="8" width="7.59765625" bestFit="1" customWidth="1"/>
    <col min="11" max="12" width="7.8984375" bestFit="1" customWidth="1"/>
  </cols>
  <sheetData>
    <row r="1" spans="1:12" ht="31.15">
      <c r="A1" s="4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5"/>
    </row>
    <row r="2" spans="1:12" ht="31.15">
      <c r="A2" s="6"/>
      <c r="B2" s="4" t="s">
        <v>0</v>
      </c>
      <c r="C2" s="4" t="s">
        <v>1</v>
      </c>
      <c r="D2" s="4" t="s">
        <v>2</v>
      </c>
      <c r="E2" s="4" t="s">
        <v>3</v>
      </c>
      <c r="F2" s="4" t="s">
        <v>4</v>
      </c>
      <c r="G2" s="4" t="s">
        <v>5</v>
      </c>
      <c r="H2" s="4" t="s">
        <v>6</v>
      </c>
      <c r="I2" s="4" t="s">
        <v>7</v>
      </c>
      <c r="J2" s="4" t="s">
        <v>8</v>
      </c>
      <c r="K2" s="4" t="s">
        <v>9</v>
      </c>
      <c r="L2" s="4" t="s">
        <v>10</v>
      </c>
    </row>
    <row r="3" spans="1:12">
      <c r="A3" s="20" t="s">
        <v>11</v>
      </c>
      <c r="B3" s="20"/>
      <c r="C3" s="20"/>
      <c r="D3" s="20"/>
      <c r="E3" s="20"/>
      <c r="F3" s="20"/>
      <c r="G3" s="20"/>
      <c r="H3" s="20"/>
      <c r="I3" s="20"/>
      <c r="J3" s="20"/>
      <c r="K3" s="20"/>
      <c r="L3" s="20"/>
    </row>
    <row r="4" spans="1:12">
      <c r="A4" s="19"/>
      <c r="B4" s="19" t="s">
        <v>12</v>
      </c>
      <c r="C4" s="19" t="s">
        <v>13</v>
      </c>
      <c r="D4" s="19" t="s">
        <v>14</v>
      </c>
      <c r="E4" s="19" t="s">
        <v>15</v>
      </c>
      <c r="F4" s="19"/>
      <c r="G4" s="19"/>
      <c r="H4" s="19"/>
      <c r="I4" s="19"/>
      <c r="J4" s="19"/>
      <c r="K4" s="19"/>
      <c r="L4" s="15"/>
    </row>
    <row r="5" spans="1:12">
      <c r="A5" s="19"/>
      <c r="B5" s="19"/>
      <c r="C5" s="19"/>
      <c r="D5" s="19"/>
      <c r="E5" s="19"/>
      <c r="F5" s="15">
        <v>10</v>
      </c>
      <c r="G5" s="7">
        <v>2000</v>
      </c>
      <c r="H5" s="15">
        <v>2.5</v>
      </c>
      <c r="I5" s="15">
        <v>3.55</v>
      </c>
      <c r="J5" s="15">
        <v>0.75</v>
      </c>
      <c r="K5" s="15">
        <v>3.625</v>
      </c>
      <c r="L5" s="15">
        <v>7</v>
      </c>
    </row>
    <row r="6" spans="1:12">
      <c r="A6" s="18"/>
      <c r="B6" s="18" t="s">
        <v>12</v>
      </c>
      <c r="C6" s="18" t="s">
        <v>16</v>
      </c>
      <c r="D6" s="18" t="s">
        <v>14</v>
      </c>
      <c r="E6" s="18" t="s">
        <v>17</v>
      </c>
      <c r="F6" s="18" t="s">
        <v>18</v>
      </c>
      <c r="G6" s="18"/>
      <c r="H6" s="18"/>
      <c r="I6" s="18"/>
      <c r="J6" s="18"/>
      <c r="K6" s="18"/>
      <c r="L6" s="14"/>
    </row>
    <row r="7" spans="1:12">
      <c r="A7" s="18"/>
      <c r="B7" s="18"/>
      <c r="C7" s="18"/>
      <c r="D7" s="18"/>
      <c r="E7" s="18"/>
      <c r="F7" s="14">
        <v>10</v>
      </c>
      <c r="G7" s="8">
        <v>20000</v>
      </c>
      <c r="H7" s="14">
        <v>2.5</v>
      </c>
      <c r="I7" s="14">
        <v>3.8</v>
      </c>
      <c r="J7" s="14">
        <v>1</v>
      </c>
      <c r="K7" s="14">
        <v>3.9</v>
      </c>
      <c r="L7" s="14">
        <v>10</v>
      </c>
    </row>
    <row r="8" spans="1:12">
      <c r="A8" s="19"/>
      <c r="B8" s="19" t="s">
        <v>19</v>
      </c>
      <c r="C8" s="19" t="s">
        <v>20</v>
      </c>
      <c r="D8" s="19" t="s">
        <v>14</v>
      </c>
      <c r="E8" s="19" t="s">
        <v>17</v>
      </c>
      <c r="F8" s="19"/>
      <c r="G8" s="19"/>
      <c r="H8" s="19"/>
      <c r="I8" s="19"/>
      <c r="J8" s="19"/>
      <c r="K8" s="19"/>
      <c r="L8" s="15"/>
    </row>
    <row r="9" spans="1:12">
      <c r="A9" s="19"/>
      <c r="B9" s="19"/>
      <c r="C9" s="19"/>
      <c r="D9" s="19"/>
      <c r="E9" s="19"/>
      <c r="F9" s="15">
        <v>10</v>
      </c>
      <c r="G9" s="7">
        <v>100000</v>
      </c>
      <c r="H9" s="15">
        <v>1.4</v>
      </c>
      <c r="I9" s="15">
        <v>4.95</v>
      </c>
      <c r="J9" s="15">
        <v>0</v>
      </c>
      <c r="K9" s="15">
        <v>4.95</v>
      </c>
      <c r="L9" s="15">
        <v>10</v>
      </c>
    </row>
    <row r="10" spans="1:12">
      <c r="A10" s="18"/>
      <c r="B10" s="18" t="s">
        <v>21</v>
      </c>
      <c r="C10" s="18" t="s">
        <v>22</v>
      </c>
      <c r="D10" s="18" t="s">
        <v>14</v>
      </c>
      <c r="E10" s="18" t="s">
        <v>15</v>
      </c>
      <c r="F10" s="18"/>
      <c r="G10" s="18"/>
      <c r="H10" s="18"/>
      <c r="I10" s="18"/>
      <c r="J10" s="18"/>
      <c r="K10" s="18"/>
      <c r="L10" s="14"/>
    </row>
    <row r="11" spans="1:12">
      <c r="A11" s="18"/>
      <c r="B11" s="18"/>
      <c r="C11" s="18"/>
      <c r="D11" s="18"/>
      <c r="E11" s="18"/>
      <c r="F11" s="14">
        <v>10</v>
      </c>
      <c r="G11" s="8">
        <v>2000</v>
      </c>
      <c r="H11" s="14">
        <v>0</v>
      </c>
      <c r="I11" s="14">
        <v>4.25</v>
      </c>
      <c r="J11" s="14">
        <v>0</v>
      </c>
      <c r="K11" s="14">
        <v>4.25</v>
      </c>
      <c r="L11" s="14">
        <v>10</v>
      </c>
    </row>
    <row r="12" spans="1:12">
      <c r="A12" s="19"/>
      <c r="B12" s="19" t="s">
        <v>23</v>
      </c>
      <c r="C12" s="19" t="s">
        <v>24</v>
      </c>
      <c r="D12" s="19" t="s">
        <v>14</v>
      </c>
      <c r="E12" s="19" t="s">
        <v>17</v>
      </c>
      <c r="F12" s="19"/>
      <c r="G12" s="19"/>
      <c r="H12" s="19"/>
      <c r="I12" s="19"/>
      <c r="J12" s="19"/>
      <c r="K12" s="19"/>
      <c r="L12" s="15"/>
    </row>
    <row r="13" spans="1:12">
      <c r="A13" s="19"/>
      <c r="B13" s="19"/>
      <c r="C13" s="19"/>
      <c r="D13" s="19"/>
      <c r="E13" s="19"/>
      <c r="F13" s="15">
        <v>10</v>
      </c>
      <c r="G13" s="7">
        <v>20000</v>
      </c>
      <c r="H13" s="15">
        <v>3</v>
      </c>
      <c r="I13" s="15">
        <v>5.0999999999999996</v>
      </c>
      <c r="J13" s="15">
        <v>0</v>
      </c>
      <c r="K13" s="15">
        <v>5.0999999999999996</v>
      </c>
      <c r="L13" s="15">
        <v>10</v>
      </c>
    </row>
    <row r="14" spans="1:12">
      <c r="A14" s="20" t="s">
        <v>25</v>
      </c>
      <c r="B14" s="20"/>
      <c r="C14" s="20"/>
      <c r="D14" s="20"/>
      <c r="E14" s="20"/>
      <c r="F14" s="20"/>
      <c r="G14" s="20"/>
      <c r="H14" s="20"/>
      <c r="I14" s="20"/>
      <c r="J14" s="20"/>
      <c r="K14" s="20"/>
      <c r="L14" s="20"/>
    </row>
    <row r="15" spans="1:12">
      <c r="A15" s="18"/>
      <c r="B15" s="18" t="s">
        <v>26</v>
      </c>
      <c r="C15" s="18" t="s">
        <v>27</v>
      </c>
      <c r="D15" s="18" t="s">
        <v>14</v>
      </c>
      <c r="E15" s="18" t="s">
        <v>17</v>
      </c>
      <c r="F15" s="18"/>
      <c r="G15" s="18"/>
      <c r="H15" s="18"/>
      <c r="I15" s="18"/>
      <c r="J15" s="18"/>
      <c r="K15" s="18"/>
      <c r="L15" s="14"/>
    </row>
    <row r="16" spans="1:12">
      <c r="A16" s="18"/>
      <c r="B16" s="18"/>
      <c r="C16" s="18"/>
      <c r="D16" s="18"/>
      <c r="E16" s="18"/>
      <c r="F16" s="14">
        <v>9</v>
      </c>
      <c r="G16" s="8">
        <v>100000</v>
      </c>
      <c r="H16" s="14">
        <v>1</v>
      </c>
      <c r="I16" s="14">
        <v>4.8</v>
      </c>
      <c r="J16" s="14">
        <v>0</v>
      </c>
      <c r="K16" s="14">
        <v>4.8</v>
      </c>
      <c r="L16" s="14">
        <v>9</v>
      </c>
    </row>
    <row r="17" spans="1:12">
      <c r="A17" s="19"/>
      <c r="B17" s="19" t="s">
        <v>21</v>
      </c>
      <c r="C17" s="19" t="s">
        <v>22</v>
      </c>
      <c r="D17" s="19" t="s">
        <v>14</v>
      </c>
      <c r="E17" s="19" t="s">
        <v>15</v>
      </c>
      <c r="F17" s="19"/>
      <c r="G17" s="19"/>
      <c r="H17" s="19"/>
      <c r="I17" s="19"/>
      <c r="J17" s="19"/>
      <c r="K17" s="19"/>
      <c r="L17" s="15"/>
    </row>
    <row r="18" spans="1:12">
      <c r="A18" s="19"/>
      <c r="B18" s="19"/>
      <c r="C18" s="19"/>
      <c r="D18" s="19"/>
      <c r="E18" s="19"/>
      <c r="F18" s="15">
        <v>9</v>
      </c>
      <c r="G18" s="7">
        <v>2000</v>
      </c>
      <c r="H18" s="15">
        <v>0</v>
      </c>
      <c r="I18" s="15">
        <v>4.1500000000000004</v>
      </c>
      <c r="J18" s="15">
        <v>0</v>
      </c>
      <c r="K18" s="15">
        <v>4.1500000000000004</v>
      </c>
      <c r="L18" s="15">
        <v>9</v>
      </c>
    </row>
    <row r="19" spans="1:12">
      <c r="A19" s="20" t="s">
        <v>28</v>
      </c>
      <c r="B19" s="20"/>
      <c r="C19" s="20"/>
      <c r="D19" s="20"/>
      <c r="E19" s="20"/>
      <c r="F19" s="20"/>
      <c r="G19" s="20"/>
      <c r="H19" s="20"/>
      <c r="I19" s="20"/>
      <c r="J19" s="20"/>
      <c r="K19" s="20"/>
      <c r="L19" s="20"/>
    </row>
    <row r="20" spans="1:12">
      <c r="A20" s="18"/>
      <c r="B20" s="18" t="s">
        <v>21</v>
      </c>
      <c r="C20" s="18" t="s">
        <v>22</v>
      </c>
      <c r="D20" s="18" t="s">
        <v>14</v>
      </c>
      <c r="E20" s="18" t="s">
        <v>15</v>
      </c>
      <c r="F20" s="18"/>
      <c r="G20" s="18"/>
      <c r="H20" s="18"/>
      <c r="I20" s="18"/>
      <c r="J20" s="18"/>
      <c r="K20" s="18"/>
      <c r="L20" s="14"/>
    </row>
    <row r="21" spans="1:12">
      <c r="A21" s="18"/>
      <c r="B21" s="18"/>
      <c r="C21" s="18"/>
      <c r="D21" s="18"/>
      <c r="E21" s="18"/>
      <c r="F21" s="14">
        <v>8</v>
      </c>
      <c r="G21" s="8">
        <v>2000</v>
      </c>
      <c r="H21" s="14">
        <v>0</v>
      </c>
      <c r="I21" s="14">
        <v>4.05</v>
      </c>
      <c r="J21" s="14">
        <v>0</v>
      </c>
      <c r="K21" s="14">
        <v>4.05</v>
      </c>
      <c r="L21" s="14">
        <v>8</v>
      </c>
    </row>
    <row r="22" spans="1:12">
      <c r="A22" s="20" t="s">
        <v>29</v>
      </c>
      <c r="B22" s="20"/>
      <c r="C22" s="20"/>
      <c r="D22" s="20"/>
      <c r="E22" s="20"/>
      <c r="F22" s="20"/>
      <c r="G22" s="20"/>
      <c r="H22" s="20"/>
      <c r="I22" s="20"/>
      <c r="J22" s="20"/>
      <c r="K22" s="20"/>
      <c r="L22" s="20"/>
    </row>
    <row r="23" spans="1:12">
      <c r="A23" s="19"/>
      <c r="B23" s="19" t="s">
        <v>30</v>
      </c>
      <c r="C23" s="19" t="s">
        <v>31</v>
      </c>
      <c r="D23" s="19" t="s">
        <v>14</v>
      </c>
      <c r="E23" s="19" t="s">
        <v>17</v>
      </c>
      <c r="F23" s="19" t="s">
        <v>32</v>
      </c>
      <c r="G23" s="19"/>
      <c r="H23" s="19"/>
      <c r="I23" s="19"/>
      <c r="J23" s="19"/>
      <c r="K23" s="19"/>
      <c r="L23" s="15"/>
    </row>
    <row r="24" spans="1:12">
      <c r="A24" s="19"/>
      <c r="B24" s="19"/>
      <c r="C24" s="19"/>
      <c r="D24" s="19"/>
      <c r="E24" s="19"/>
      <c r="F24" s="15">
        <v>7</v>
      </c>
      <c r="G24" s="7">
        <v>100000</v>
      </c>
      <c r="H24" s="15">
        <v>1</v>
      </c>
      <c r="I24" s="15">
        <v>4.45</v>
      </c>
      <c r="J24" s="15">
        <v>0</v>
      </c>
      <c r="K24" s="15">
        <v>4.45</v>
      </c>
      <c r="L24" s="15">
        <v>7</v>
      </c>
    </row>
    <row r="25" spans="1:12">
      <c r="A25" s="18"/>
      <c r="B25" s="18" t="s">
        <v>30</v>
      </c>
      <c r="C25" s="18" t="s">
        <v>31</v>
      </c>
      <c r="D25" s="18" t="s">
        <v>14</v>
      </c>
      <c r="E25" s="18" t="s">
        <v>17</v>
      </c>
      <c r="F25" s="18" t="s">
        <v>33</v>
      </c>
      <c r="G25" s="18"/>
      <c r="H25" s="18"/>
      <c r="I25" s="18"/>
      <c r="J25" s="18"/>
      <c r="K25" s="18"/>
      <c r="L25" s="14"/>
    </row>
    <row r="26" spans="1:12">
      <c r="A26" s="18"/>
      <c r="B26" s="18"/>
      <c r="C26" s="18"/>
      <c r="D26" s="18"/>
      <c r="E26" s="18"/>
      <c r="F26" s="14">
        <v>7</v>
      </c>
      <c r="G26" s="8">
        <v>100000</v>
      </c>
      <c r="H26" s="14">
        <v>1</v>
      </c>
      <c r="I26" s="14">
        <v>4.5</v>
      </c>
      <c r="J26" s="14">
        <v>0</v>
      </c>
      <c r="K26" s="14">
        <v>4.5</v>
      </c>
      <c r="L26" s="14">
        <v>7</v>
      </c>
    </row>
    <row r="27" spans="1:12">
      <c r="A27" s="19"/>
      <c r="B27" s="19" t="s">
        <v>30</v>
      </c>
      <c r="C27" s="19" t="s">
        <v>31</v>
      </c>
      <c r="D27" s="19" t="s">
        <v>14</v>
      </c>
      <c r="E27" s="19" t="s">
        <v>17</v>
      </c>
      <c r="F27" s="19" t="s">
        <v>34</v>
      </c>
      <c r="G27" s="19"/>
      <c r="H27" s="19"/>
      <c r="I27" s="19"/>
      <c r="J27" s="19"/>
      <c r="K27" s="19"/>
      <c r="L27" s="15"/>
    </row>
    <row r="28" spans="1:12">
      <c r="A28" s="19"/>
      <c r="B28" s="19"/>
      <c r="C28" s="19"/>
      <c r="D28" s="19"/>
      <c r="E28" s="19"/>
      <c r="F28" s="15">
        <v>7</v>
      </c>
      <c r="G28" s="7">
        <v>100000</v>
      </c>
      <c r="H28" s="15">
        <v>1</v>
      </c>
      <c r="I28" s="15">
        <v>4.25</v>
      </c>
      <c r="J28" s="15">
        <v>0</v>
      </c>
      <c r="K28" s="15">
        <v>4.25</v>
      </c>
      <c r="L28" s="15">
        <v>7</v>
      </c>
    </row>
    <row r="29" spans="1:12">
      <c r="A29" s="18"/>
      <c r="B29" s="18" t="s">
        <v>30</v>
      </c>
      <c r="C29" s="18" t="s">
        <v>31</v>
      </c>
      <c r="D29" s="18" t="s">
        <v>14</v>
      </c>
      <c r="E29" s="18" t="s">
        <v>17</v>
      </c>
      <c r="F29" s="18" t="s">
        <v>35</v>
      </c>
      <c r="G29" s="18"/>
      <c r="H29" s="18"/>
      <c r="I29" s="18"/>
      <c r="J29" s="18"/>
      <c r="K29" s="18"/>
      <c r="L29" s="14"/>
    </row>
    <row r="30" spans="1:12">
      <c r="A30" s="18"/>
      <c r="B30" s="18"/>
      <c r="C30" s="18"/>
      <c r="D30" s="18"/>
      <c r="E30" s="18"/>
      <c r="F30" s="14">
        <v>7</v>
      </c>
      <c r="G30" s="8">
        <v>100000</v>
      </c>
      <c r="H30" s="14">
        <v>1</v>
      </c>
      <c r="I30" s="14">
        <v>4.45</v>
      </c>
      <c r="J30" s="14">
        <v>0</v>
      </c>
      <c r="K30" s="14">
        <v>4.45</v>
      </c>
      <c r="L30" s="14">
        <v>7</v>
      </c>
    </row>
    <row r="31" spans="1:12">
      <c r="A31" s="19"/>
      <c r="B31" s="19" t="s">
        <v>36</v>
      </c>
      <c r="C31" s="19" t="s">
        <v>37</v>
      </c>
      <c r="D31" s="19" t="s">
        <v>14</v>
      </c>
      <c r="E31" s="19" t="s">
        <v>17</v>
      </c>
      <c r="F31" s="19"/>
      <c r="G31" s="19"/>
      <c r="H31" s="19"/>
      <c r="I31" s="19"/>
      <c r="J31" s="19"/>
      <c r="K31" s="19"/>
      <c r="L31" s="15"/>
    </row>
    <row r="32" spans="1:12">
      <c r="A32" s="19"/>
      <c r="B32" s="19"/>
      <c r="C32" s="19"/>
      <c r="D32" s="19"/>
      <c r="E32" s="19"/>
      <c r="F32" s="15">
        <v>7</v>
      </c>
      <c r="G32" s="7">
        <v>100000</v>
      </c>
      <c r="H32" s="15">
        <v>2.4500000000000002</v>
      </c>
      <c r="I32" s="15">
        <v>4.8499999999999996</v>
      </c>
      <c r="J32" s="15">
        <v>0</v>
      </c>
      <c r="K32" s="15">
        <v>4.8499999999999996</v>
      </c>
      <c r="L32" s="15">
        <v>7</v>
      </c>
    </row>
    <row r="33" spans="1:12">
      <c r="A33" s="18"/>
      <c r="B33" s="18" t="s">
        <v>38</v>
      </c>
      <c r="C33" s="18" t="s">
        <v>39</v>
      </c>
      <c r="D33" s="18" t="s">
        <v>14</v>
      </c>
      <c r="E33" s="18" t="s">
        <v>15</v>
      </c>
      <c r="F33" s="18" t="s">
        <v>40</v>
      </c>
      <c r="G33" s="18"/>
      <c r="H33" s="18"/>
      <c r="I33" s="18"/>
      <c r="J33" s="18"/>
      <c r="K33" s="18"/>
      <c r="L33" s="14"/>
    </row>
    <row r="34" spans="1:12">
      <c r="A34" s="18"/>
      <c r="B34" s="18"/>
      <c r="C34" s="18"/>
      <c r="D34" s="18"/>
      <c r="E34" s="18"/>
      <c r="F34" s="14">
        <v>7</v>
      </c>
      <c r="G34" s="8">
        <v>100000</v>
      </c>
      <c r="H34" s="14">
        <v>0.25</v>
      </c>
      <c r="I34" s="14">
        <v>4.8499999999999996</v>
      </c>
      <c r="J34" s="14">
        <v>0</v>
      </c>
      <c r="K34" s="14">
        <v>4.8499999999999996</v>
      </c>
      <c r="L34" s="14">
        <v>7</v>
      </c>
    </row>
    <row r="35" spans="1:12">
      <c r="A35" s="19"/>
      <c r="B35" s="19" t="s">
        <v>38</v>
      </c>
      <c r="C35" s="19" t="s">
        <v>41</v>
      </c>
      <c r="D35" s="19" t="s">
        <v>14</v>
      </c>
      <c r="E35" s="19" t="s">
        <v>15</v>
      </c>
      <c r="F35" s="19" t="s">
        <v>42</v>
      </c>
      <c r="G35" s="19"/>
      <c r="H35" s="19"/>
      <c r="I35" s="19"/>
      <c r="J35" s="19"/>
      <c r="K35" s="19"/>
      <c r="L35" s="15"/>
    </row>
    <row r="36" spans="1:12">
      <c r="A36" s="19"/>
      <c r="B36" s="19"/>
      <c r="C36" s="19"/>
      <c r="D36" s="19"/>
      <c r="E36" s="19"/>
      <c r="F36" s="15">
        <v>7</v>
      </c>
      <c r="G36" s="7">
        <v>100000</v>
      </c>
      <c r="H36" s="15">
        <v>0.25</v>
      </c>
      <c r="I36" s="15">
        <v>4.95</v>
      </c>
      <c r="J36" s="15">
        <v>0</v>
      </c>
      <c r="K36" s="15">
        <v>4.95</v>
      </c>
      <c r="L36" s="15">
        <v>7</v>
      </c>
    </row>
    <row r="37" spans="1:12">
      <c r="A37" s="18"/>
      <c r="B37" s="18" t="s">
        <v>38</v>
      </c>
      <c r="C37" s="18" t="s">
        <v>43</v>
      </c>
      <c r="D37" s="18" t="s">
        <v>14</v>
      </c>
      <c r="E37" s="18" t="s">
        <v>15</v>
      </c>
      <c r="F37" s="18" t="s">
        <v>40</v>
      </c>
      <c r="G37" s="18"/>
      <c r="H37" s="18"/>
      <c r="I37" s="18"/>
      <c r="J37" s="18"/>
      <c r="K37" s="18"/>
      <c r="L37" s="14"/>
    </row>
    <row r="38" spans="1:12">
      <c r="A38" s="18"/>
      <c r="B38" s="18"/>
      <c r="C38" s="18"/>
      <c r="D38" s="18"/>
      <c r="E38" s="18"/>
      <c r="F38" s="14">
        <v>7</v>
      </c>
      <c r="G38" s="8">
        <v>100000</v>
      </c>
      <c r="H38" s="14">
        <v>0.25</v>
      </c>
      <c r="I38" s="14">
        <v>4.75</v>
      </c>
      <c r="J38" s="14">
        <v>0</v>
      </c>
      <c r="K38" s="14">
        <v>4.75</v>
      </c>
      <c r="L38" s="14">
        <v>7</v>
      </c>
    </row>
    <row r="39" spans="1:12">
      <c r="A39" s="19"/>
      <c r="B39" s="19" t="s">
        <v>44</v>
      </c>
      <c r="C39" s="19" t="s">
        <v>45</v>
      </c>
      <c r="D39" s="19" t="s">
        <v>14</v>
      </c>
      <c r="E39" s="19" t="s">
        <v>17</v>
      </c>
      <c r="F39" s="19" t="s">
        <v>46</v>
      </c>
      <c r="G39" s="19"/>
      <c r="H39" s="19"/>
      <c r="I39" s="19"/>
      <c r="J39" s="19"/>
      <c r="K39" s="19"/>
      <c r="L39" s="15"/>
    </row>
    <row r="40" spans="1:12">
      <c r="A40" s="19"/>
      <c r="B40" s="19"/>
      <c r="C40" s="19"/>
      <c r="D40" s="19"/>
      <c r="E40" s="19"/>
      <c r="F40" s="15">
        <v>7</v>
      </c>
      <c r="G40" s="7">
        <v>100000</v>
      </c>
      <c r="H40" s="15">
        <v>0.05</v>
      </c>
      <c r="I40" s="15">
        <v>4.5999999999999996</v>
      </c>
      <c r="J40" s="15">
        <v>0</v>
      </c>
      <c r="K40" s="15">
        <v>4.5999999999999996</v>
      </c>
      <c r="L40" s="15">
        <v>7</v>
      </c>
    </row>
    <row r="41" spans="1:12">
      <c r="A41" s="18"/>
      <c r="B41" s="18" t="s">
        <v>44</v>
      </c>
      <c r="C41" s="18" t="s">
        <v>45</v>
      </c>
      <c r="D41" s="18" t="s">
        <v>14</v>
      </c>
      <c r="E41" s="18" t="s">
        <v>17</v>
      </c>
      <c r="F41" s="18" t="s">
        <v>47</v>
      </c>
      <c r="G41" s="18"/>
      <c r="H41" s="18"/>
      <c r="I41" s="18"/>
      <c r="J41" s="18"/>
      <c r="K41" s="18"/>
      <c r="L41" s="14"/>
    </row>
    <row r="42" spans="1:12">
      <c r="A42" s="18"/>
      <c r="B42" s="18"/>
      <c r="C42" s="18"/>
      <c r="D42" s="18"/>
      <c r="E42" s="18"/>
      <c r="F42" s="14">
        <v>7</v>
      </c>
      <c r="G42" s="8">
        <v>100000</v>
      </c>
      <c r="H42" s="14">
        <v>0.05</v>
      </c>
      <c r="I42" s="14">
        <v>4.8499999999999996</v>
      </c>
      <c r="J42" s="14">
        <v>0</v>
      </c>
      <c r="K42" s="14">
        <v>4.8499999999999996</v>
      </c>
      <c r="L42" s="14">
        <v>7</v>
      </c>
    </row>
    <row r="43" spans="1:12">
      <c r="A43" s="19"/>
      <c r="B43" s="19" t="s">
        <v>44</v>
      </c>
      <c r="C43" s="19" t="s">
        <v>45</v>
      </c>
      <c r="D43" s="19" t="s">
        <v>14</v>
      </c>
      <c r="E43" s="19" t="s">
        <v>17</v>
      </c>
      <c r="F43" s="19" t="s">
        <v>48</v>
      </c>
      <c r="G43" s="19"/>
      <c r="H43" s="19"/>
      <c r="I43" s="19"/>
      <c r="J43" s="19"/>
      <c r="K43" s="19"/>
      <c r="L43" s="15"/>
    </row>
    <row r="44" spans="1:12">
      <c r="A44" s="19"/>
      <c r="B44" s="19"/>
      <c r="C44" s="19"/>
      <c r="D44" s="19"/>
      <c r="E44" s="19"/>
      <c r="F44" s="15">
        <v>7</v>
      </c>
      <c r="G44" s="7">
        <v>100000</v>
      </c>
      <c r="H44" s="15">
        <v>0.05</v>
      </c>
      <c r="I44" s="15">
        <v>4.45</v>
      </c>
      <c r="J44" s="15">
        <v>0</v>
      </c>
      <c r="K44" s="15">
        <v>4.45</v>
      </c>
      <c r="L44" s="15">
        <v>7</v>
      </c>
    </row>
    <row r="45" spans="1:12">
      <c r="A45" s="18"/>
      <c r="B45" s="18" t="s">
        <v>49</v>
      </c>
      <c r="C45" s="18" t="s">
        <v>50</v>
      </c>
      <c r="D45" s="18" t="s">
        <v>14</v>
      </c>
      <c r="E45" s="18" t="s">
        <v>17</v>
      </c>
      <c r="F45" s="18"/>
      <c r="G45" s="18"/>
      <c r="H45" s="18"/>
      <c r="I45" s="18"/>
      <c r="J45" s="18"/>
      <c r="K45" s="18"/>
      <c r="L45" s="14"/>
    </row>
    <row r="46" spans="1:12">
      <c r="A46" s="18"/>
      <c r="B46" s="18"/>
      <c r="C46" s="18"/>
      <c r="D46" s="18"/>
      <c r="E46" s="18"/>
      <c r="F46" s="14">
        <v>7</v>
      </c>
      <c r="G46" s="8">
        <v>100000</v>
      </c>
      <c r="H46" s="14">
        <v>0.25</v>
      </c>
      <c r="I46" s="14">
        <v>4.9000000000000004</v>
      </c>
      <c r="J46" s="14">
        <v>0</v>
      </c>
      <c r="K46" s="14">
        <v>4.9000000000000004</v>
      </c>
      <c r="L46" s="14">
        <v>7</v>
      </c>
    </row>
    <row r="47" spans="1:12">
      <c r="A47" s="19"/>
      <c r="B47" s="19" t="s">
        <v>51</v>
      </c>
      <c r="C47" s="19" t="s">
        <v>52</v>
      </c>
      <c r="D47" s="19" t="s">
        <v>14</v>
      </c>
      <c r="E47" s="19" t="s">
        <v>17</v>
      </c>
      <c r="F47" s="19"/>
      <c r="G47" s="19"/>
      <c r="H47" s="19"/>
      <c r="I47" s="19"/>
      <c r="J47" s="19"/>
      <c r="K47" s="19"/>
      <c r="L47" s="15"/>
    </row>
    <row r="48" spans="1:12">
      <c r="A48" s="19"/>
      <c r="B48" s="19"/>
      <c r="C48" s="19"/>
      <c r="D48" s="19"/>
      <c r="E48" s="19"/>
      <c r="F48" s="15">
        <v>7</v>
      </c>
      <c r="G48" s="7">
        <v>100000</v>
      </c>
      <c r="H48" s="15">
        <v>1</v>
      </c>
      <c r="I48" s="15">
        <v>4.9000000000000004</v>
      </c>
      <c r="J48" s="15">
        <v>0</v>
      </c>
      <c r="K48" s="15">
        <v>4.9000000000000004</v>
      </c>
      <c r="L48" s="15">
        <v>7</v>
      </c>
    </row>
    <row r="49" spans="1:12">
      <c r="A49" s="18"/>
      <c r="B49" s="18" t="s">
        <v>53</v>
      </c>
      <c r="C49" s="18" t="s">
        <v>54</v>
      </c>
      <c r="D49" s="18" t="s">
        <v>14</v>
      </c>
      <c r="E49" s="18" t="s">
        <v>17</v>
      </c>
      <c r="F49" s="18" t="s">
        <v>55</v>
      </c>
      <c r="G49" s="18"/>
      <c r="H49" s="18"/>
      <c r="I49" s="18"/>
      <c r="J49" s="18"/>
      <c r="K49" s="18"/>
      <c r="L49" s="14"/>
    </row>
    <row r="50" spans="1:12">
      <c r="A50" s="18"/>
      <c r="B50" s="18"/>
      <c r="C50" s="18"/>
      <c r="D50" s="18"/>
      <c r="E50" s="18"/>
      <c r="F50" s="14">
        <v>7</v>
      </c>
      <c r="G50" s="8">
        <v>100000</v>
      </c>
      <c r="H50" s="14">
        <v>0.1</v>
      </c>
      <c r="I50" s="14">
        <v>4.8499999999999996</v>
      </c>
      <c r="J50" s="14">
        <v>0</v>
      </c>
      <c r="K50" s="14">
        <v>4.8499999999999996</v>
      </c>
      <c r="L50" s="14">
        <v>7</v>
      </c>
    </row>
    <row r="51" spans="1:12">
      <c r="A51" s="19"/>
      <c r="B51" s="19" t="s">
        <v>12</v>
      </c>
      <c r="C51" s="19" t="s">
        <v>16</v>
      </c>
      <c r="D51" s="19" t="s">
        <v>14</v>
      </c>
      <c r="E51" s="19" t="s">
        <v>17</v>
      </c>
      <c r="F51" s="19" t="s">
        <v>56</v>
      </c>
      <c r="G51" s="19"/>
      <c r="H51" s="19"/>
      <c r="I51" s="19"/>
      <c r="J51" s="19"/>
      <c r="K51" s="19"/>
      <c r="L51" s="15"/>
    </row>
    <row r="52" spans="1:12">
      <c r="A52" s="19"/>
      <c r="B52" s="19"/>
      <c r="C52" s="19"/>
      <c r="D52" s="19"/>
      <c r="E52" s="19"/>
      <c r="F52" s="15">
        <v>7</v>
      </c>
      <c r="G52" s="7">
        <v>20000</v>
      </c>
      <c r="H52" s="15">
        <v>2.5</v>
      </c>
      <c r="I52" s="15">
        <v>3.5</v>
      </c>
      <c r="J52" s="15">
        <v>1</v>
      </c>
      <c r="K52" s="15">
        <v>3.6419999999999999</v>
      </c>
      <c r="L52" s="15">
        <v>7</v>
      </c>
    </row>
    <row r="53" spans="1:12">
      <c r="A53" s="18"/>
      <c r="B53" s="18" t="s">
        <v>12</v>
      </c>
      <c r="C53" s="18" t="s">
        <v>13</v>
      </c>
      <c r="D53" s="18" t="s">
        <v>14</v>
      </c>
      <c r="E53" s="18" t="s">
        <v>15</v>
      </c>
      <c r="F53" s="18"/>
      <c r="G53" s="18"/>
      <c r="H53" s="18"/>
      <c r="I53" s="18"/>
      <c r="J53" s="18"/>
      <c r="K53" s="18"/>
      <c r="L53" s="14"/>
    </row>
    <row r="54" spans="1:12">
      <c r="A54" s="18"/>
      <c r="B54" s="18"/>
      <c r="C54" s="18"/>
      <c r="D54" s="18"/>
      <c r="E54" s="18"/>
      <c r="F54" s="14">
        <v>7</v>
      </c>
      <c r="G54" s="8">
        <v>2000</v>
      </c>
      <c r="H54" s="14">
        <v>2.5</v>
      </c>
      <c r="I54" s="14">
        <v>3.35</v>
      </c>
      <c r="J54" s="14">
        <v>0.75</v>
      </c>
      <c r="K54" s="14">
        <v>3.4569999999999999</v>
      </c>
      <c r="L54" s="14">
        <v>7</v>
      </c>
    </row>
    <row r="55" spans="1:12">
      <c r="A55" s="19"/>
      <c r="B55" s="19" t="s">
        <v>12</v>
      </c>
      <c r="C55" s="19" t="s">
        <v>57</v>
      </c>
      <c r="D55" s="19" t="s">
        <v>14</v>
      </c>
      <c r="E55" s="19" t="s">
        <v>17</v>
      </c>
      <c r="F55" s="19"/>
      <c r="G55" s="19"/>
      <c r="H55" s="19"/>
      <c r="I55" s="19"/>
      <c r="J55" s="19"/>
      <c r="K55" s="19"/>
      <c r="L55" s="15"/>
    </row>
    <row r="56" spans="1:12">
      <c r="A56" s="19"/>
      <c r="B56" s="19"/>
      <c r="C56" s="19"/>
      <c r="D56" s="19"/>
      <c r="E56" s="19"/>
      <c r="F56" s="15">
        <v>7</v>
      </c>
      <c r="G56" s="7">
        <v>3000</v>
      </c>
      <c r="H56" s="15">
        <v>2.5</v>
      </c>
      <c r="I56" s="15">
        <v>3.5</v>
      </c>
      <c r="J56" s="15">
        <v>1</v>
      </c>
      <c r="K56" s="15">
        <v>3.6419999999999999</v>
      </c>
      <c r="L56" s="15">
        <v>7</v>
      </c>
    </row>
    <row r="57" spans="1:12">
      <c r="A57" s="18"/>
      <c r="B57" s="18" t="s">
        <v>58</v>
      </c>
      <c r="C57" s="18" t="s">
        <v>59</v>
      </c>
      <c r="D57" s="18" t="s">
        <v>14</v>
      </c>
      <c r="E57" s="18" t="s">
        <v>17</v>
      </c>
      <c r="F57" s="18"/>
      <c r="G57" s="18"/>
      <c r="H57" s="18"/>
      <c r="I57" s="18"/>
      <c r="J57" s="18"/>
      <c r="K57" s="18"/>
      <c r="L57" s="14"/>
    </row>
    <row r="58" spans="1:12">
      <c r="A58" s="18"/>
      <c r="B58" s="18"/>
      <c r="C58" s="18"/>
      <c r="D58" s="18"/>
      <c r="E58" s="18"/>
      <c r="F58" s="14">
        <v>7</v>
      </c>
      <c r="G58" s="8">
        <v>100000</v>
      </c>
      <c r="H58" s="14">
        <v>2.4</v>
      </c>
      <c r="I58" s="14">
        <v>4.45</v>
      </c>
      <c r="J58" s="14">
        <v>0</v>
      </c>
      <c r="K58" s="14">
        <v>4.45</v>
      </c>
      <c r="L58" s="14">
        <v>7</v>
      </c>
    </row>
    <row r="59" spans="1:12">
      <c r="A59" s="19"/>
      <c r="B59" s="19" t="s">
        <v>19</v>
      </c>
      <c r="C59" s="19" t="s">
        <v>20</v>
      </c>
      <c r="D59" s="19" t="s">
        <v>14</v>
      </c>
      <c r="E59" s="19" t="s">
        <v>17</v>
      </c>
      <c r="F59" s="19"/>
      <c r="G59" s="19"/>
      <c r="H59" s="19"/>
      <c r="I59" s="19"/>
      <c r="J59" s="19"/>
      <c r="K59" s="19"/>
      <c r="L59" s="15"/>
    </row>
    <row r="60" spans="1:12">
      <c r="A60" s="19"/>
      <c r="B60" s="19"/>
      <c r="C60" s="19"/>
      <c r="D60" s="19"/>
      <c r="E60" s="19"/>
      <c r="F60" s="15">
        <v>7</v>
      </c>
      <c r="G60" s="7">
        <v>100000</v>
      </c>
      <c r="H60" s="15">
        <v>1.4</v>
      </c>
      <c r="I60" s="15">
        <v>4.8</v>
      </c>
      <c r="J60" s="15">
        <v>0</v>
      </c>
      <c r="K60" s="15">
        <v>4.8</v>
      </c>
      <c r="L60" s="15">
        <v>7</v>
      </c>
    </row>
    <row r="61" spans="1:12">
      <c r="A61" s="18"/>
      <c r="B61" s="18" t="s">
        <v>60</v>
      </c>
      <c r="C61" s="18" t="s">
        <v>61</v>
      </c>
      <c r="D61" s="18" t="s">
        <v>14</v>
      </c>
      <c r="E61" s="18" t="s">
        <v>62</v>
      </c>
      <c r="F61" s="18"/>
      <c r="G61" s="18"/>
      <c r="H61" s="18"/>
      <c r="I61" s="18"/>
      <c r="J61" s="18"/>
      <c r="K61" s="18"/>
      <c r="L61" s="14"/>
    </row>
    <row r="62" spans="1:12">
      <c r="A62" s="18"/>
      <c r="B62" s="18"/>
      <c r="C62" s="18"/>
      <c r="D62" s="18"/>
      <c r="E62" s="18"/>
      <c r="F62" s="14">
        <v>7</v>
      </c>
      <c r="G62" s="8">
        <v>100000</v>
      </c>
      <c r="H62" s="14">
        <v>2.4500000000000002</v>
      </c>
      <c r="I62" s="14">
        <v>4.5999999999999996</v>
      </c>
      <c r="J62" s="14">
        <v>0</v>
      </c>
      <c r="K62" s="14">
        <v>4.5999999999999996</v>
      </c>
      <c r="L62" s="14">
        <v>7</v>
      </c>
    </row>
    <row r="63" spans="1:12">
      <c r="A63" s="19"/>
      <c r="B63" s="19" t="s">
        <v>63</v>
      </c>
      <c r="C63" s="19" t="s">
        <v>64</v>
      </c>
      <c r="D63" s="19" t="s">
        <v>14</v>
      </c>
      <c r="E63" s="19" t="s">
        <v>17</v>
      </c>
      <c r="F63" s="19" t="s">
        <v>65</v>
      </c>
      <c r="G63" s="19"/>
      <c r="H63" s="19"/>
      <c r="I63" s="19"/>
      <c r="J63" s="19"/>
      <c r="K63" s="19"/>
      <c r="L63" s="15"/>
    </row>
    <row r="64" spans="1:12">
      <c r="A64" s="19"/>
      <c r="B64" s="19"/>
      <c r="C64" s="19"/>
      <c r="D64" s="19"/>
      <c r="E64" s="19"/>
      <c r="F64" s="15">
        <v>7</v>
      </c>
      <c r="G64" s="7">
        <v>100000</v>
      </c>
      <c r="H64" s="15">
        <v>0.1</v>
      </c>
      <c r="I64" s="15">
        <v>4.7</v>
      </c>
      <c r="J64" s="15">
        <v>0</v>
      </c>
      <c r="K64" s="15">
        <v>4.7</v>
      </c>
      <c r="L64" s="15">
        <v>7</v>
      </c>
    </row>
    <row r="65" spans="1:12">
      <c r="A65" s="18"/>
      <c r="B65" s="18" t="s">
        <v>26</v>
      </c>
      <c r="C65" s="18" t="s">
        <v>27</v>
      </c>
      <c r="D65" s="18" t="s">
        <v>14</v>
      </c>
      <c r="E65" s="18" t="s">
        <v>17</v>
      </c>
      <c r="F65" s="18"/>
      <c r="G65" s="18"/>
      <c r="H65" s="18"/>
      <c r="I65" s="18"/>
      <c r="J65" s="18"/>
      <c r="K65" s="18"/>
      <c r="L65" s="14"/>
    </row>
    <row r="66" spans="1:12">
      <c r="A66" s="18"/>
      <c r="B66" s="18"/>
      <c r="C66" s="18"/>
      <c r="D66" s="18"/>
      <c r="E66" s="18"/>
      <c r="F66" s="14">
        <v>7</v>
      </c>
      <c r="G66" s="8">
        <v>100000</v>
      </c>
      <c r="H66" s="14">
        <v>1</v>
      </c>
      <c r="I66" s="14">
        <v>4.5999999999999996</v>
      </c>
      <c r="J66" s="14">
        <v>0</v>
      </c>
      <c r="K66" s="14">
        <v>4.5999999999999996</v>
      </c>
      <c r="L66" s="14">
        <v>7</v>
      </c>
    </row>
    <row r="67" spans="1:12">
      <c r="A67" s="19"/>
      <c r="B67" s="19" t="s">
        <v>21</v>
      </c>
      <c r="C67" s="19" t="s">
        <v>22</v>
      </c>
      <c r="D67" s="19" t="s">
        <v>14</v>
      </c>
      <c r="E67" s="19" t="s">
        <v>15</v>
      </c>
      <c r="F67" s="19"/>
      <c r="G67" s="19"/>
      <c r="H67" s="19"/>
      <c r="I67" s="19"/>
      <c r="J67" s="19"/>
      <c r="K67" s="19"/>
      <c r="L67" s="15"/>
    </row>
    <row r="68" spans="1:12">
      <c r="A68" s="19"/>
      <c r="B68" s="19"/>
      <c r="C68" s="19"/>
      <c r="D68" s="19"/>
      <c r="E68" s="19"/>
      <c r="F68" s="15">
        <v>7</v>
      </c>
      <c r="G68" s="7">
        <v>2000</v>
      </c>
      <c r="H68" s="15">
        <v>0</v>
      </c>
      <c r="I68" s="15">
        <v>4</v>
      </c>
      <c r="J68" s="15">
        <v>0</v>
      </c>
      <c r="K68" s="15">
        <v>4</v>
      </c>
      <c r="L68" s="15">
        <v>7</v>
      </c>
    </row>
    <row r="69" spans="1:12">
      <c r="A69" s="18"/>
      <c r="B69" s="18" t="s">
        <v>21</v>
      </c>
      <c r="C69" s="18" t="s">
        <v>66</v>
      </c>
      <c r="D69" s="18" t="s">
        <v>14</v>
      </c>
      <c r="E69" s="18" t="s">
        <v>17</v>
      </c>
      <c r="F69" s="18" t="s">
        <v>67</v>
      </c>
      <c r="G69" s="18"/>
      <c r="H69" s="18"/>
      <c r="I69" s="18"/>
      <c r="J69" s="18"/>
      <c r="K69" s="18"/>
      <c r="L69" s="14"/>
    </row>
    <row r="70" spans="1:12">
      <c r="A70" s="18"/>
      <c r="B70" s="18"/>
      <c r="C70" s="18"/>
      <c r="D70" s="18"/>
      <c r="E70" s="18"/>
      <c r="F70" s="14">
        <v>7</v>
      </c>
      <c r="G70" s="8">
        <v>100000</v>
      </c>
      <c r="H70" s="14">
        <v>0.5</v>
      </c>
      <c r="I70" s="14">
        <v>4.7</v>
      </c>
      <c r="J70" s="14">
        <v>0</v>
      </c>
      <c r="K70" s="14">
        <v>4.7</v>
      </c>
      <c r="L70" s="14">
        <v>7</v>
      </c>
    </row>
    <row r="71" spans="1:12">
      <c r="A71" s="19"/>
      <c r="B71" s="19" t="s">
        <v>21</v>
      </c>
      <c r="C71" s="19" t="s">
        <v>66</v>
      </c>
      <c r="D71" s="19" t="s">
        <v>14</v>
      </c>
      <c r="E71" s="19" t="s">
        <v>17</v>
      </c>
      <c r="F71" s="19" t="s">
        <v>68</v>
      </c>
      <c r="G71" s="19"/>
      <c r="H71" s="19"/>
      <c r="I71" s="19"/>
      <c r="J71" s="19"/>
      <c r="K71" s="19"/>
      <c r="L71" s="15"/>
    </row>
    <row r="72" spans="1:12">
      <c r="A72" s="19"/>
      <c r="B72" s="19"/>
      <c r="C72" s="19"/>
      <c r="D72" s="19"/>
      <c r="E72" s="19"/>
      <c r="F72" s="15">
        <v>7</v>
      </c>
      <c r="G72" s="7">
        <v>100000</v>
      </c>
      <c r="H72" s="15">
        <v>0.5</v>
      </c>
      <c r="I72" s="15">
        <v>4.1500000000000004</v>
      </c>
      <c r="J72" s="15">
        <v>0</v>
      </c>
      <c r="K72" s="15">
        <v>4.1500000000000004</v>
      </c>
      <c r="L72" s="15">
        <v>7</v>
      </c>
    </row>
    <row r="73" spans="1:12">
      <c r="A73" s="18"/>
      <c r="B73" s="18" t="s">
        <v>69</v>
      </c>
      <c r="C73" s="18" t="s">
        <v>70</v>
      </c>
      <c r="D73" s="18" t="s">
        <v>14</v>
      </c>
      <c r="E73" s="18" t="s">
        <v>17</v>
      </c>
      <c r="F73" s="18"/>
      <c r="G73" s="18"/>
      <c r="H73" s="18"/>
      <c r="I73" s="18"/>
      <c r="J73" s="18"/>
      <c r="K73" s="18"/>
      <c r="L73" s="14"/>
    </row>
    <row r="74" spans="1:12">
      <c r="A74" s="18"/>
      <c r="B74" s="18"/>
      <c r="C74" s="18"/>
      <c r="D74" s="18"/>
      <c r="E74" s="18"/>
      <c r="F74" s="14">
        <v>7</v>
      </c>
      <c r="G74" s="8">
        <v>100000</v>
      </c>
      <c r="H74" s="14">
        <v>0.05</v>
      </c>
      <c r="I74" s="14">
        <v>4.3</v>
      </c>
      <c r="J74" s="14">
        <v>0</v>
      </c>
      <c r="K74" s="14">
        <v>4.3</v>
      </c>
      <c r="L74" s="14">
        <v>7</v>
      </c>
    </row>
    <row r="75" spans="1:12">
      <c r="A75" s="19"/>
      <c r="B75" s="19" t="s">
        <v>69</v>
      </c>
      <c r="C75" s="19" t="s">
        <v>71</v>
      </c>
      <c r="D75" s="19" t="s">
        <v>14</v>
      </c>
      <c r="E75" s="19" t="s">
        <v>17</v>
      </c>
      <c r="F75" s="19"/>
      <c r="G75" s="19"/>
      <c r="H75" s="19"/>
      <c r="I75" s="19"/>
      <c r="J75" s="19"/>
      <c r="K75" s="19"/>
      <c r="L75" s="15"/>
    </row>
    <row r="76" spans="1:12">
      <c r="A76" s="19"/>
      <c r="B76" s="19"/>
      <c r="C76" s="19"/>
      <c r="D76" s="19"/>
      <c r="E76" s="19"/>
      <c r="F76" s="15">
        <v>7</v>
      </c>
      <c r="G76" s="7">
        <v>100000</v>
      </c>
      <c r="H76" s="15">
        <v>0.05</v>
      </c>
      <c r="I76" s="15">
        <v>4.3499999999999996</v>
      </c>
      <c r="J76" s="15">
        <v>0</v>
      </c>
      <c r="K76" s="15">
        <v>4.3499999999999996</v>
      </c>
      <c r="L76" s="15">
        <v>7</v>
      </c>
    </row>
    <row r="77" spans="1:12">
      <c r="A77" s="18"/>
      <c r="B77" s="18" t="s">
        <v>72</v>
      </c>
      <c r="C77" s="18" t="s">
        <v>73</v>
      </c>
      <c r="D77" s="18" t="s">
        <v>14</v>
      </c>
      <c r="E77" s="18" t="s">
        <v>17</v>
      </c>
      <c r="F77" s="18"/>
      <c r="G77" s="18"/>
      <c r="H77" s="18"/>
      <c r="I77" s="18"/>
      <c r="J77" s="18"/>
      <c r="K77" s="18"/>
      <c r="L77" s="14"/>
    </row>
    <row r="78" spans="1:12">
      <c r="A78" s="18"/>
      <c r="B78" s="18"/>
      <c r="C78" s="18"/>
      <c r="D78" s="18"/>
      <c r="E78" s="18"/>
      <c r="F78" s="14">
        <v>7</v>
      </c>
      <c r="G78" s="8">
        <v>100000</v>
      </c>
      <c r="H78" s="14">
        <v>1.7</v>
      </c>
      <c r="I78" s="14">
        <v>4.75</v>
      </c>
      <c r="J78" s="14">
        <v>0</v>
      </c>
      <c r="K78" s="14">
        <v>4.75</v>
      </c>
      <c r="L78" s="14">
        <v>7</v>
      </c>
    </row>
    <row r="79" spans="1:12">
      <c r="A79" s="19"/>
      <c r="B79" s="19" t="s">
        <v>74</v>
      </c>
      <c r="C79" s="19" t="s">
        <v>75</v>
      </c>
      <c r="D79" s="19" t="s">
        <v>14</v>
      </c>
      <c r="E79" s="19" t="s">
        <v>15</v>
      </c>
      <c r="F79" s="19" t="s">
        <v>76</v>
      </c>
      <c r="G79" s="19"/>
      <c r="H79" s="19"/>
      <c r="I79" s="19"/>
      <c r="J79" s="19"/>
      <c r="K79" s="19"/>
      <c r="L79" s="15"/>
    </row>
    <row r="80" spans="1:12">
      <c r="A80" s="19"/>
      <c r="B80" s="19"/>
      <c r="C80" s="19"/>
      <c r="D80" s="19"/>
      <c r="E80" s="19"/>
      <c r="F80" s="15">
        <v>7</v>
      </c>
      <c r="G80" s="7">
        <v>75000</v>
      </c>
      <c r="H80" s="15">
        <v>2.35</v>
      </c>
      <c r="I80" s="15">
        <v>4.9000000000000004</v>
      </c>
      <c r="J80" s="15">
        <v>0</v>
      </c>
      <c r="K80" s="15">
        <v>4.9000000000000004</v>
      </c>
      <c r="L80" s="15">
        <v>7</v>
      </c>
    </row>
    <row r="81" spans="1:12">
      <c r="A81" s="18"/>
      <c r="B81" s="18" t="s">
        <v>77</v>
      </c>
      <c r="C81" s="18" t="s">
        <v>78</v>
      </c>
      <c r="D81" s="18" t="s">
        <v>14</v>
      </c>
      <c r="E81" s="18" t="s">
        <v>17</v>
      </c>
      <c r="F81" s="18"/>
      <c r="G81" s="18"/>
      <c r="H81" s="18"/>
      <c r="I81" s="18"/>
      <c r="J81" s="18"/>
      <c r="K81" s="18"/>
      <c r="L81" s="14"/>
    </row>
    <row r="82" spans="1:12">
      <c r="A82" s="18"/>
      <c r="B82" s="18"/>
      <c r="C82" s="18"/>
      <c r="D82" s="18"/>
      <c r="E82" s="18"/>
      <c r="F82" s="14">
        <v>7</v>
      </c>
      <c r="G82" s="8">
        <v>100000</v>
      </c>
      <c r="H82" s="14">
        <v>0.25</v>
      </c>
      <c r="I82" s="14">
        <v>4.9000000000000004</v>
      </c>
      <c r="J82" s="14">
        <v>0</v>
      </c>
      <c r="K82" s="14">
        <v>4.9000000000000004</v>
      </c>
      <c r="L82" s="14">
        <v>7</v>
      </c>
    </row>
    <row r="83" spans="1:12">
      <c r="A83" s="19"/>
      <c r="B83" s="19" t="s">
        <v>23</v>
      </c>
      <c r="C83" s="19" t="s">
        <v>79</v>
      </c>
      <c r="D83" s="19" t="s">
        <v>14</v>
      </c>
      <c r="E83" s="19" t="s">
        <v>17</v>
      </c>
      <c r="F83" s="19"/>
      <c r="G83" s="19"/>
      <c r="H83" s="19"/>
      <c r="I83" s="19"/>
      <c r="J83" s="19"/>
      <c r="K83" s="19"/>
      <c r="L83" s="15"/>
    </row>
    <row r="84" spans="1:12">
      <c r="A84" s="19"/>
      <c r="B84" s="19"/>
      <c r="C84" s="19"/>
      <c r="D84" s="19"/>
      <c r="E84" s="19"/>
      <c r="F84" s="15">
        <v>7</v>
      </c>
      <c r="G84" s="7">
        <v>20000</v>
      </c>
      <c r="H84" s="15">
        <v>3</v>
      </c>
      <c r="I84" s="15">
        <v>5</v>
      </c>
      <c r="J84" s="15">
        <v>0</v>
      </c>
      <c r="K84" s="15">
        <v>5</v>
      </c>
      <c r="L84" s="15">
        <v>7</v>
      </c>
    </row>
    <row r="85" spans="1:12">
      <c r="A85" s="18"/>
      <c r="B85" s="18" t="s">
        <v>80</v>
      </c>
      <c r="C85" s="18" t="s">
        <v>81</v>
      </c>
      <c r="D85" s="18" t="s">
        <v>14</v>
      </c>
      <c r="E85" s="18" t="s">
        <v>17</v>
      </c>
      <c r="F85" s="18" t="s">
        <v>82</v>
      </c>
      <c r="G85" s="18"/>
      <c r="H85" s="18"/>
      <c r="I85" s="18"/>
      <c r="J85" s="18"/>
      <c r="K85" s="18"/>
      <c r="L85" s="14"/>
    </row>
    <row r="86" spans="1:12">
      <c r="A86" s="18"/>
      <c r="B86" s="18"/>
      <c r="C86" s="18"/>
      <c r="D86" s="18"/>
      <c r="E86" s="18"/>
      <c r="F86" s="14">
        <v>7</v>
      </c>
      <c r="G86" s="8">
        <v>100000</v>
      </c>
      <c r="H86" s="14">
        <v>1</v>
      </c>
      <c r="I86" s="14">
        <v>5</v>
      </c>
      <c r="J86" s="14">
        <v>0</v>
      </c>
      <c r="K86" s="14">
        <v>5</v>
      </c>
      <c r="L86" s="14">
        <v>7</v>
      </c>
    </row>
    <row r="87" spans="1:12">
      <c r="A87" s="19"/>
      <c r="B87" s="19" t="s">
        <v>80</v>
      </c>
      <c r="C87" s="19" t="s">
        <v>83</v>
      </c>
      <c r="D87" s="19" t="s">
        <v>14</v>
      </c>
      <c r="E87" s="19" t="s">
        <v>17</v>
      </c>
      <c r="F87" s="19" t="s">
        <v>84</v>
      </c>
      <c r="G87" s="19"/>
      <c r="H87" s="19"/>
      <c r="I87" s="19"/>
      <c r="J87" s="19"/>
      <c r="K87" s="19"/>
      <c r="L87" s="15"/>
    </row>
    <row r="88" spans="1:12">
      <c r="A88" s="19"/>
      <c r="B88" s="19"/>
      <c r="C88" s="19"/>
      <c r="D88" s="19"/>
      <c r="E88" s="19"/>
      <c r="F88" s="15">
        <v>7</v>
      </c>
      <c r="G88" s="7">
        <v>100000</v>
      </c>
      <c r="H88" s="15">
        <v>1</v>
      </c>
      <c r="I88" s="15">
        <v>4.6500000000000004</v>
      </c>
      <c r="J88" s="15">
        <v>0</v>
      </c>
      <c r="K88" s="15">
        <v>4.6500000000000004</v>
      </c>
      <c r="L88" s="15">
        <v>7</v>
      </c>
    </row>
    <row r="89" spans="1:12">
      <c r="A89" s="18"/>
      <c r="B89" s="18" t="s">
        <v>80</v>
      </c>
      <c r="C89" s="18" t="s">
        <v>85</v>
      </c>
      <c r="D89" s="18" t="s">
        <v>14</v>
      </c>
      <c r="E89" s="18" t="s">
        <v>17</v>
      </c>
      <c r="F89" s="18" t="s">
        <v>86</v>
      </c>
      <c r="G89" s="18"/>
      <c r="H89" s="18"/>
      <c r="I89" s="18"/>
      <c r="J89" s="18"/>
      <c r="K89" s="18"/>
      <c r="L89" s="14"/>
    </row>
    <row r="90" spans="1:12">
      <c r="A90" s="18"/>
      <c r="B90" s="18"/>
      <c r="C90" s="18"/>
      <c r="D90" s="18"/>
      <c r="E90" s="18"/>
      <c r="F90" s="14">
        <v>7</v>
      </c>
      <c r="G90" s="8">
        <v>100000</v>
      </c>
      <c r="H90" s="14">
        <v>1</v>
      </c>
      <c r="I90" s="14">
        <v>4.95</v>
      </c>
      <c r="J90" s="14">
        <v>0</v>
      </c>
      <c r="K90" s="14">
        <v>4.95</v>
      </c>
      <c r="L90" s="14">
        <v>7</v>
      </c>
    </row>
    <row r="91" spans="1:12">
      <c r="A91" s="19"/>
      <c r="B91" s="19" t="s">
        <v>80</v>
      </c>
      <c r="C91" s="19" t="s">
        <v>87</v>
      </c>
      <c r="D91" s="19" t="s">
        <v>14</v>
      </c>
      <c r="E91" s="19" t="s">
        <v>17</v>
      </c>
      <c r="F91" s="19" t="s">
        <v>88</v>
      </c>
      <c r="G91" s="19"/>
      <c r="H91" s="19"/>
      <c r="I91" s="19"/>
      <c r="J91" s="19"/>
      <c r="K91" s="19"/>
      <c r="L91" s="15"/>
    </row>
    <row r="92" spans="1:12">
      <c r="A92" s="19"/>
      <c r="B92" s="19"/>
      <c r="C92" s="19"/>
      <c r="D92" s="19"/>
      <c r="E92" s="19"/>
      <c r="F92" s="15">
        <v>7</v>
      </c>
      <c r="G92" s="7">
        <v>100000</v>
      </c>
      <c r="H92" s="15">
        <v>1</v>
      </c>
      <c r="I92" s="15">
        <v>4.55</v>
      </c>
      <c r="J92" s="15">
        <v>0</v>
      </c>
      <c r="K92" s="15">
        <v>4.55</v>
      </c>
      <c r="L92" s="15">
        <v>7</v>
      </c>
    </row>
    <row r="93" spans="1:12">
      <c r="A93" s="18"/>
      <c r="B93" s="18" t="s">
        <v>89</v>
      </c>
      <c r="C93" s="18" t="s">
        <v>90</v>
      </c>
      <c r="D93" s="18" t="s">
        <v>14</v>
      </c>
      <c r="E93" s="18" t="s">
        <v>17</v>
      </c>
      <c r="F93" s="18"/>
      <c r="G93" s="18"/>
      <c r="H93" s="18"/>
      <c r="I93" s="18"/>
      <c r="J93" s="18"/>
      <c r="K93" s="18"/>
      <c r="L93" s="14"/>
    </row>
    <row r="94" spans="1:12">
      <c r="A94" s="18"/>
      <c r="B94" s="18"/>
      <c r="C94" s="18"/>
      <c r="D94" s="18"/>
      <c r="E94" s="18"/>
      <c r="F94" s="14">
        <v>7</v>
      </c>
      <c r="G94" s="8">
        <v>10000</v>
      </c>
      <c r="H94" s="14">
        <v>2.4</v>
      </c>
      <c r="I94" s="14">
        <v>4.9000000000000004</v>
      </c>
      <c r="J94" s="14">
        <v>0</v>
      </c>
      <c r="K94" s="14">
        <v>4.9000000000000004</v>
      </c>
      <c r="L94" s="14">
        <v>7</v>
      </c>
    </row>
    <row r="95" spans="1:12">
      <c r="A95" s="19"/>
      <c r="B95" s="19" t="s">
        <v>89</v>
      </c>
      <c r="C95" s="19" t="s">
        <v>91</v>
      </c>
      <c r="D95" s="19" t="s">
        <v>92</v>
      </c>
      <c r="E95" s="19" t="s">
        <v>17</v>
      </c>
      <c r="F95" s="19" t="s">
        <v>93</v>
      </c>
      <c r="G95" s="19"/>
      <c r="H95" s="19"/>
      <c r="I95" s="19"/>
      <c r="J95" s="19"/>
      <c r="K95" s="19"/>
      <c r="L95" s="15"/>
    </row>
    <row r="96" spans="1:12">
      <c r="A96" s="19"/>
      <c r="B96" s="19"/>
      <c r="C96" s="19"/>
      <c r="D96" s="19"/>
      <c r="E96" s="19"/>
      <c r="F96" s="15">
        <v>7</v>
      </c>
      <c r="G96" s="7">
        <v>10000</v>
      </c>
      <c r="H96" s="15">
        <v>2.4</v>
      </c>
      <c r="I96" s="15">
        <v>1.2</v>
      </c>
      <c r="J96" s="15">
        <v>3.67</v>
      </c>
      <c r="K96" s="15">
        <v>1.716</v>
      </c>
      <c r="L96" s="15">
        <v>7</v>
      </c>
    </row>
    <row r="97" spans="1:12">
      <c r="A97" s="18"/>
      <c r="B97" s="18" t="s">
        <v>94</v>
      </c>
      <c r="C97" s="18" t="s">
        <v>95</v>
      </c>
      <c r="D97" s="18" t="s">
        <v>14</v>
      </c>
      <c r="E97" s="18" t="s">
        <v>17</v>
      </c>
      <c r="F97" s="18" t="s">
        <v>96</v>
      </c>
      <c r="G97" s="18"/>
      <c r="H97" s="18"/>
      <c r="I97" s="18"/>
      <c r="J97" s="18"/>
      <c r="K97" s="18"/>
      <c r="L97" s="14"/>
    </row>
    <row r="98" spans="1:12">
      <c r="A98" s="18"/>
      <c r="B98" s="18"/>
      <c r="C98" s="18"/>
      <c r="D98" s="18"/>
      <c r="E98" s="18"/>
      <c r="F98" s="14">
        <v>7</v>
      </c>
      <c r="G98" s="8">
        <v>100000</v>
      </c>
      <c r="H98" s="14">
        <v>0.1</v>
      </c>
      <c r="I98" s="14">
        <v>4.45</v>
      </c>
      <c r="J98" s="14">
        <v>0</v>
      </c>
      <c r="K98" s="14">
        <v>4.45</v>
      </c>
      <c r="L98" s="14">
        <v>7</v>
      </c>
    </row>
    <row r="99" spans="1:12">
      <c r="A99" s="19"/>
      <c r="B99" s="19" t="s">
        <v>94</v>
      </c>
      <c r="C99" s="19" t="s">
        <v>95</v>
      </c>
      <c r="D99" s="19" t="s">
        <v>14</v>
      </c>
      <c r="E99" s="19" t="s">
        <v>17</v>
      </c>
      <c r="F99" s="19" t="s">
        <v>97</v>
      </c>
      <c r="G99" s="19"/>
      <c r="H99" s="19"/>
      <c r="I99" s="19"/>
      <c r="J99" s="19"/>
      <c r="K99" s="19"/>
      <c r="L99" s="15"/>
    </row>
    <row r="100" spans="1:12">
      <c r="A100" s="19"/>
      <c r="B100" s="19"/>
      <c r="C100" s="19"/>
      <c r="D100" s="19"/>
      <c r="E100" s="19"/>
      <c r="F100" s="15">
        <v>7</v>
      </c>
      <c r="G100" s="7">
        <v>100000</v>
      </c>
      <c r="H100" s="15">
        <v>0.1</v>
      </c>
      <c r="I100" s="15">
        <v>4.4000000000000004</v>
      </c>
      <c r="J100" s="15">
        <v>0</v>
      </c>
      <c r="K100" s="15">
        <v>4.4000000000000004</v>
      </c>
      <c r="L100" s="15">
        <v>7</v>
      </c>
    </row>
    <row r="101" spans="1:12">
      <c r="A101" s="18"/>
      <c r="B101" s="18" t="s">
        <v>94</v>
      </c>
      <c r="C101" s="18" t="s">
        <v>95</v>
      </c>
      <c r="D101" s="18" t="s">
        <v>14</v>
      </c>
      <c r="E101" s="18" t="s">
        <v>17</v>
      </c>
      <c r="F101" s="18" t="s">
        <v>98</v>
      </c>
      <c r="G101" s="18"/>
      <c r="H101" s="18"/>
      <c r="I101" s="18"/>
      <c r="J101" s="18"/>
      <c r="K101" s="18"/>
      <c r="L101" s="14"/>
    </row>
    <row r="102" spans="1:12">
      <c r="A102" s="18"/>
      <c r="B102" s="18"/>
      <c r="C102" s="18"/>
      <c r="D102" s="18"/>
      <c r="E102" s="18"/>
      <c r="F102" s="14">
        <v>7</v>
      </c>
      <c r="G102" s="8">
        <v>100000</v>
      </c>
      <c r="H102" s="14">
        <v>0.1</v>
      </c>
      <c r="I102" s="14">
        <v>4.3499999999999996</v>
      </c>
      <c r="J102" s="14">
        <v>0</v>
      </c>
      <c r="K102" s="14">
        <v>4.3499999999999996</v>
      </c>
      <c r="L102" s="14">
        <v>7</v>
      </c>
    </row>
    <row r="103" spans="1:12">
      <c r="A103" s="19"/>
      <c r="B103" s="19" t="s">
        <v>94</v>
      </c>
      <c r="C103" s="19" t="s">
        <v>95</v>
      </c>
      <c r="D103" s="19" t="s">
        <v>14</v>
      </c>
      <c r="E103" s="19" t="s">
        <v>17</v>
      </c>
      <c r="F103" s="19" t="s">
        <v>99</v>
      </c>
      <c r="G103" s="19"/>
      <c r="H103" s="19"/>
      <c r="I103" s="19"/>
      <c r="J103" s="19"/>
      <c r="K103" s="19"/>
      <c r="L103" s="15"/>
    </row>
    <row r="104" spans="1:12">
      <c r="A104" s="19"/>
      <c r="B104" s="19"/>
      <c r="C104" s="19"/>
      <c r="D104" s="19"/>
      <c r="E104" s="19"/>
      <c r="F104" s="15">
        <v>7</v>
      </c>
      <c r="G104" s="7">
        <v>100000</v>
      </c>
      <c r="H104" s="15">
        <v>0.1</v>
      </c>
      <c r="I104" s="15">
        <v>4.25</v>
      </c>
      <c r="J104" s="15">
        <v>0</v>
      </c>
      <c r="K104" s="15">
        <v>4.25</v>
      </c>
      <c r="L104" s="15">
        <v>7</v>
      </c>
    </row>
    <row r="105" spans="1:12">
      <c r="A105" s="18"/>
      <c r="B105" s="18" t="s">
        <v>100</v>
      </c>
      <c r="C105" s="18" t="s">
        <v>101</v>
      </c>
      <c r="D105" s="18" t="s">
        <v>14</v>
      </c>
      <c r="E105" s="18" t="s">
        <v>17</v>
      </c>
      <c r="F105" s="18"/>
      <c r="G105" s="18"/>
      <c r="H105" s="18"/>
      <c r="I105" s="18"/>
      <c r="J105" s="18"/>
      <c r="K105" s="18"/>
      <c r="L105" s="14"/>
    </row>
    <row r="106" spans="1:12">
      <c r="A106" s="18"/>
      <c r="B106" s="18"/>
      <c r="C106" s="18"/>
      <c r="D106" s="18"/>
      <c r="E106" s="18"/>
      <c r="F106" s="14">
        <v>7</v>
      </c>
      <c r="G106" s="8">
        <v>100000</v>
      </c>
      <c r="H106" s="14">
        <v>0.25</v>
      </c>
      <c r="I106" s="14">
        <v>5.05</v>
      </c>
      <c r="J106" s="14">
        <v>0</v>
      </c>
      <c r="K106" s="14">
        <v>5.05</v>
      </c>
      <c r="L106" s="14">
        <v>7</v>
      </c>
    </row>
    <row r="107" spans="1:12">
      <c r="A107" s="19"/>
      <c r="B107" s="19" t="s">
        <v>100</v>
      </c>
      <c r="C107" s="19" t="s">
        <v>102</v>
      </c>
      <c r="D107" s="19" t="s">
        <v>14</v>
      </c>
      <c r="E107" s="19" t="s">
        <v>17</v>
      </c>
      <c r="F107" s="19" t="s">
        <v>103</v>
      </c>
      <c r="G107" s="19"/>
      <c r="H107" s="19"/>
      <c r="I107" s="19"/>
      <c r="J107" s="19"/>
      <c r="K107" s="19"/>
      <c r="L107" s="15"/>
    </row>
    <row r="108" spans="1:12">
      <c r="A108" s="19"/>
      <c r="B108" s="19"/>
      <c r="C108" s="19"/>
      <c r="D108" s="19"/>
      <c r="E108" s="19"/>
      <c r="F108" s="15">
        <v>7</v>
      </c>
      <c r="G108" s="7">
        <v>100000</v>
      </c>
      <c r="H108" s="15">
        <v>0.25</v>
      </c>
      <c r="I108" s="15">
        <v>4.7</v>
      </c>
      <c r="J108" s="15">
        <v>0</v>
      </c>
      <c r="K108" s="15">
        <v>4.7</v>
      </c>
      <c r="L108" s="15">
        <v>7</v>
      </c>
    </row>
    <row r="109" spans="1:12">
      <c r="A109" s="18"/>
      <c r="B109" s="18" t="s">
        <v>100</v>
      </c>
      <c r="C109" s="18" t="s">
        <v>102</v>
      </c>
      <c r="D109" s="18" t="s">
        <v>14</v>
      </c>
      <c r="E109" s="18" t="s">
        <v>17</v>
      </c>
      <c r="F109" s="18" t="s">
        <v>104</v>
      </c>
      <c r="G109" s="18"/>
      <c r="H109" s="18"/>
      <c r="I109" s="18"/>
      <c r="J109" s="18"/>
      <c r="K109" s="18"/>
      <c r="L109" s="14"/>
    </row>
    <row r="110" spans="1:12">
      <c r="A110" s="18"/>
      <c r="B110" s="18"/>
      <c r="C110" s="18"/>
      <c r="D110" s="18"/>
      <c r="E110" s="18"/>
      <c r="F110" s="14">
        <v>7</v>
      </c>
      <c r="G110" s="8">
        <v>100000</v>
      </c>
      <c r="H110" s="14">
        <v>0.25</v>
      </c>
      <c r="I110" s="14">
        <v>4.9000000000000004</v>
      </c>
      <c r="J110" s="14">
        <v>0</v>
      </c>
      <c r="K110" s="14">
        <v>4.9000000000000004</v>
      </c>
      <c r="L110" s="14">
        <v>7</v>
      </c>
    </row>
    <row r="111" spans="1:12">
      <c r="A111" s="19"/>
      <c r="B111" s="19" t="s">
        <v>105</v>
      </c>
      <c r="C111" s="19" t="s">
        <v>106</v>
      </c>
      <c r="D111" s="19" t="s">
        <v>14</v>
      </c>
      <c r="E111" s="19" t="s">
        <v>17</v>
      </c>
      <c r="F111" s="19" t="s">
        <v>107</v>
      </c>
      <c r="G111" s="19"/>
      <c r="H111" s="19"/>
      <c r="I111" s="19"/>
      <c r="J111" s="19"/>
      <c r="K111" s="19"/>
      <c r="L111" s="15"/>
    </row>
    <row r="112" spans="1:12">
      <c r="A112" s="19"/>
      <c r="B112" s="19"/>
      <c r="C112" s="19"/>
      <c r="D112" s="19"/>
      <c r="E112" s="19"/>
      <c r="F112" s="15">
        <v>7</v>
      </c>
      <c r="G112" s="7">
        <v>100000</v>
      </c>
      <c r="H112" s="15">
        <v>1</v>
      </c>
      <c r="I112" s="15">
        <v>5.3</v>
      </c>
      <c r="J112" s="15">
        <v>0</v>
      </c>
      <c r="K112" s="15">
        <v>5.3</v>
      </c>
      <c r="L112" s="15">
        <v>7</v>
      </c>
    </row>
    <row r="113" spans="1:12">
      <c r="A113" s="18"/>
      <c r="B113" s="18" t="s">
        <v>108</v>
      </c>
      <c r="C113" s="18" t="s">
        <v>109</v>
      </c>
      <c r="D113" s="18" t="s">
        <v>14</v>
      </c>
      <c r="E113" s="18" t="s">
        <v>17</v>
      </c>
      <c r="F113" s="18"/>
      <c r="G113" s="18"/>
      <c r="H113" s="18"/>
      <c r="I113" s="18"/>
      <c r="J113" s="18"/>
      <c r="K113" s="18"/>
      <c r="L113" s="14"/>
    </row>
    <row r="114" spans="1:12">
      <c r="A114" s="18"/>
      <c r="B114" s="18"/>
      <c r="C114" s="18"/>
      <c r="D114" s="18"/>
      <c r="E114" s="18"/>
      <c r="F114" s="14">
        <v>7</v>
      </c>
      <c r="G114" s="8">
        <v>100000</v>
      </c>
      <c r="H114" s="14">
        <v>1.1499999999999999</v>
      </c>
      <c r="I114" s="14">
        <v>3.6</v>
      </c>
      <c r="J114" s="14">
        <v>0</v>
      </c>
      <c r="K114" s="14">
        <v>3.6</v>
      </c>
      <c r="L114" s="14">
        <v>7</v>
      </c>
    </row>
    <row r="115" spans="1:12">
      <c r="A115" s="20" t="s">
        <v>110</v>
      </c>
      <c r="B115" s="20"/>
      <c r="C115" s="20"/>
      <c r="D115" s="20"/>
      <c r="E115" s="20"/>
      <c r="F115" s="20"/>
      <c r="G115" s="20"/>
      <c r="H115" s="20"/>
      <c r="I115" s="20"/>
      <c r="J115" s="20"/>
      <c r="K115" s="20"/>
      <c r="L115" s="20"/>
    </row>
    <row r="116" spans="1:12">
      <c r="A116" s="19"/>
      <c r="B116" s="19" t="s">
        <v>111</v>
      </c>
      <c r="C116" s="19" t="s">
        <v>112</v>
      </c>
      <c r="D116" s="19" t="s">
        <v>14</v>
      </c>
      <c r="E116" s="19" t="s">
        <v>17</v>
      </c>
      <c r="F116" s="19"/>
      <c r="G116" s="19"/>
      <c r="H116" s="19"/>
      <c r="I116" s="19"/>
      <c r="J116" s="19"/>
      <c r="K116" s="19"/>
      <c r="L116" s="15"/>
    </row>
    <row r="117" spans="1:12">
      <c r="A117" s="19"/>
      <c r="B117" s="19"/>
      <c r="C117" s="19"/>
      <c r="D117" s="19"/>
      <c r="E117" s="19"/>
      <c r="F117" s="15">
        <v>6</v>
      </c>
      <c r="G117" s="7">
        <v>100000</v>
      </c>
      <c r="H117" s="15">
        <v>2.7</v>
      </c>
      <c r="I117" s="15">
        <v>4.3499999999999996</v>
      </c>
      <c r="J117" s="15">
        <v>0</v>
      </c>
      <c r="K117" s="15">
        <v>4.3499999999999996</v>
      </c>
      <c r="L117" s="15">
        <v>6</v>
      </c>
    </row>
    <row r="118" spans="1:12">
      <c r="A118" s="18"/>
      <c r="B118" s="18" t="s">
        <v>12</v>
      </c>
      <c r="C118" s="18" t="s">
        <v>13</v>
      </c>
      <c r="D118" s="18" t="s">
        <v>92</v>
      </c>
      <c r="E118" s="18" t="s">
        <v>15</v>
      </c>
      <c r="F118" s="18"/>
      <c r="G118" s="18"/>
      <c r="H118" s="18"/>
      <c r="I118" s="18"/>
      <c r="J118" s="18"/>
      <c r="K118" s="18"/>
      <c r="L118" s="14"/>
    </row>
    <row r="119" spans="1:12">
      <c r="A119" s="18"/>
      <c r="B119" s="18"/>
      <c r="C119" s="18"/>
      <c r="D119" s="18"/>
      <c r="E119" s="18"/>
      <c r="F119" s="14">
        <v>6</v>
      </c>
      <c r="G119" s="8">
        <v>2000</v>
      </c>
      <c r="H119" s="14">
        <v>2.5</v>
      </c>
      <c r="I119" s="14">
        <v>3.35</v>
      </c>
      <c r="J119" s="14">
        <v>0.75</v>
      </c>
      <c r="K119" s="14">
        <v>3.335</v>
      </c>
      <c r="L119" s="14">
        <v>7</v>
      </c>
    </row>
    <row r="120" spans="1:12">
      <c r="A120" s="19"/>
      <c r="B120" s="19" t="s">
        <v>60</v>
      </c>
      <c r="C120" s="19" t="s">
        <v>61</v>
      </c>
      <c r="D120" s="19" t="s">
        <v>14</v>
      </c>
      <c r="E120" s="19" t="s">
        <v>62</v>
      </c>
      <c r="F120" s="19"/>
      <c r="G120" s="19"/>
      <c r="H120" s="19"/>
      <c r="I120" s="19"/>
      <c r="J120" s="19"/>
      <c r="K120" s="19"/>
      <c r="L120" s="15"/>
    </row>
    <row r="121" spans="1:12">
      <c r="A121" s="19"/>
      <c r="B121" s="19"/>
      <c r="C121" s="19"/>
      <c r="D121" s="19"/>
      <c r="E121" s="19"/>
      <c r="F121" s="15">
        <v>6</v>
      </c>
      <c r="G121" s="7">
        <v>100000</v>
      </c>
      <c r="H121" s="15">
        <v>2.4500000000000002</v>
      </c>
      <c r="I121" s="15">
        <v>4.4000000000000004</v>
      </c>
      <c r="J121" s="15">
        <v>0</v>
      </c>
      <c r="K121" s="15">
        <v>4.4000000000000004</v>
      </c>
      <c r="L121" s="15">
        <v>6</v>
      </c>
    </row>
    <row r="122" spans="1:12">
      <c r="A122" s="18"/>
      <c r="B122" s="18" t="s">
        <v>21</v>
      </c>
      <c r="C122" s="18" t="s">
        <v>22</v>
      </c>
      <c r="D122" s="18" t="s">
        <v>14</v>
      </c>
      <c r="E122" s="18" t="s">
        <v>15</v>
      </c>
      <c r="F122" s="18"/>
      <c r="G122" s="18"/>
      <c r="H122" s="18"/>
      <c r="I122" s="18"/>
      <c r="J122" s="18"/>
      <c r="K122" s="18"/>
      <c r="L122" s="14"/>
    </row>
    <row r="123" spans="1:12">
      <c r="A123" s="18"/>
      <c r="B123" s="18"/>
      <c r="C123" s="18"/>
      <c r="D123" s="18"/>
      <c r="E123" s="18"/>
      <c r="F123" s="14">
        <v>6</v>
      </c>
      <c r="G123" s="8">
        <v>2000</v>
      </c>
      <c r="H123" s="14">
        <v>0</v>
      </c>
      <c r="I123" s="14">
        <v>3.75</v>
      </c>
      <c r="J123" s="14">
        <v>0</v>
      </c>
      <c r="K123" s="14">
        <v>3.75</v>
      </c>
      <c r="L123" s="14">
        <v>6</v>
      </c>
    </row>
    <row r="124" spans="1:12">
      <c r="A124" s="19"/>
      <c r="B124" s="19" t="s">
        <v>69</v>
      </c>
      <c r="C124" s="19" t="s">
        <v>70</v>
      </c>
      <c r="D124" s="19" t="s">
        <v>14</v>
      </c>
      <c r="E124" s="19" t="s">
        <v>17</v>
      </c>
      <c r="F124" s="19"/>
      <c r="G124" s="19"/>
      <c r="H124" s="19"/>
      <c r="I124" s="19"/>
      <c r="J124" s="19"/>
      <c r="K124" s="19"/>
      <c r="L124" s="15"/>
    </row>
    <row r="125" spans="1:12">
      <c r="A125" s="19"/>
      <c r="B125" s="19"/>
      <c r="C125" s="19"/>
      <c r="D125" s="19"/>
      <c r="E125" s="19"/>
      <c r="F125" s="15">
        <v>6</v>
      </c>
      <c r="G125" s="7">
        <v>100000</v>
      </c>
      <c r="H125" s="15">
        <v>0.05</v>
      </c>
      <c r="I125" s="15">
        <v>4.3</v>
      </c>
      <c r="J125" s="15">
        <v>0</v>
      </c>
      <c r="K125" s="15">
        <v>4.3</v>
      </c>
      <c r="L125" s="15">
        <v>6</v>
      </c>
    </row>
    <row r="126" spans="1:12">
      <c r="A126" s="18"/>
      <c r="B126" s="18" t="s">
        <v>69</v>
      </c>
      <c r="C126" s="18" t="s">
        <v>71</v>
      </c>
      <c r="D126" s="18" t="s">
        <v>14</v>
      </c>
      <c r="E126" s="18" t="s">
        <v>17</v>
      </c>
      <c r="F126" s="18"/>
      <c r="G126" s="18"/>
      <c r="H126" s="18"/>
      <c r="I126" s="18"/>
      <c r="J126" s="18"/>
      <c r="K126" s="18"/>
      <c r="L126" s="14"/>
    </row>
    <row r="127" spans="1:12">
      <c r="A127" s="18"/>
      <c r="B127" s="18"/>
      <c r="C127" s="18"/>
      <c r="D127" s="18"/>
      <c r="E127" s="18"/>
      <c r="F127" s="14">
        <v>6</v>
      </c>
      <c r="G127" s="8">
        <v>100000</v>
      </c>
      <c r="H127" s="14">
        <v>0.05</v>
      </c>
      <c r="I127" s="14">
        <v>4.3499999999999996</v>
      </c>
      <c r="J127" s="14">
        <v>0</v>
      </c>
      <c r="K127" s="14">
        <v>4.3499999999999996</v>
      </c>
      <c r="L127" s="14">
        <v>6</v>
      </c>
    </row>
    <row r="128" spans="1:12">
      <c r="A128" s="19"/>
      <c r="B128" s="19" t="s">
        <v>108</v>
      </c>
      <c r="C128" s="19" t="s">
        <v>109</v>
      </c>
      <c r="D128" s="19" t="s">
        <v>14</v>
      </c>
      <c r="E128" s="19" t="s">
        <v>17</v>
      </c>
      <c r="F128" s="19"/>
      <c r="G128" s="19"/>
      <c r="H128" s="19"/>
      <c r="I128" s="19"/>
      <c r="J128" s="19"/>
      <c r="K128" s="19"/>
      <c r="L128" s="15"/>
    </row>
    <row r="129" spans="1:12">
      <c r="A129" s="19"/>
      <c r="B129" s="19"/>
      <c r="C129" s="19"/>
      <c r="D129" s="19"/>
      <c r="E129" s="19"/>
      <c r="F129" s="15">
        <v>6</v>
      </c>
      <c r="G129" s="7">
        <v>100000</v>
      </c>
      <c r="H129" s="15">
        <v>1.1499999999999999</v>
      </c>
      <c r="I129" s="15">
        <v>3.6</v>
      </c>
      <c r="J129" s="15">
        <v>0</v>
      </c>
      <c r="K129" s="15">
        <v>3.6</v>
      </c>
      <c r="L129" s="15">
        <v>6</v>
      </c>
    </row>
    <row r="130" spans="1:12">
      <c r="A130" s="20" t="s">
        <v>113</v>
      </c>
      <c r="B130" s="20"/>
      <c r="C130" s="20"/>
      <c r="D130" s="20"/>
      <c r="E130" s="20"/>
      <c r="F130" s="20"/>
      <c r="G130" s="20"/>
      <c r="H130" s="20"/>
      <c r="I130" s="20"/>
      <c r="J130" s="20"/>
      <c r="K130" s="20"/>
      <c r="L130" s="20"/>
    </row>
    <row r="131" spans="1:12">
      <c r="A131" s="18"/>
      <c r="B131" s="18" t="s">
        <v>30</v>
      </c>
      <c r="C131" s="18" t="s">
        <v>114</v>
      </c>
      <c r="D131" s="18" t="s">
        <v>14</v>
      </c>
      <c r="E131" s="18" t="s">
        <v>17</v>
      </c>
      <c r="F131" s="18" t="s">
        <v>32</v>
      </c>
      <c r="G131" s="18"/>
      <c r="H131" s="18"/>
      <c r="I131" s="18"/>
      <c r="J131" s="18"/>
      <c r="K131" s="18"/>
      <c r="L131" s="14"/>
    </row>
    <row r="132" spans="1:12">
      <c r="A132" s="18"/>
      <c r="B132" s="18"/>
      <c r="C132" s="18"/>
      <c r="D132" s="18"/>
      <c r="E132" s="18"/>
      <c r="F132" s="14">
        <v>5</v>
      </c>
      <c r="G132" s="8">
        <v>100000</v>
      </c>
      <c r="H132" s="14">
        <v>1</v>
      </c>
      <c r="I132" s="14">
        <v>4.45</v>
      </c>
      <c r="J132" s="14">
        <v>0</v>
      </c>
      <c r="K132" s="14">
        <v>4.45</v>
      </c>
      <c r="L132" s="14">
        <v>5</v>
      </c>
    </row>
    <row r="133" spans="1:12">
      <c r="A133" s="19"/>
      <c r="B133" s="19" t="s">
        <v>30</v>
      </c>
      <c r="C133" s="19" t="s">
        <v>114</v>
      </c>
      <c r="D133" s="19" t="s">
        <v>14</v>
      </c>
      <c r="E133" s="19" t="s">
        <v>17</v>
      </c>
      <c r="F133" s="19" t="s">
        <v>33</v>
      </c>
      <c r="G133" s="19"/>
      <c r="H133" s="19"/>
      <c r="I133" s="19"/>
      <c r="J133" s="19"/>
      <c r="K133" s="19"/>
      <c r="L133" s="15"/>
    </row>
    <row r="134" spans="1:12">
      <c r="A134" s="19"/>
      <c r="B134" s="19"/>
      <c r="C134" s="19"/>
      <c r="D134" s="19"/>
      <c r="E134" s="19"/>
      <c r="F134" s="15">
        <v>5</v>
      </c>
      <c r="G134" s="7">
        <v>100000</v>
      </c>
      <c r="H134" s="15">
        <v>1</v>
      </c>
      <c r="I134" s="15">
        <v>4.5</v>
      </c>
      <c r="J134" s="15">
        <v>0</v>
      </c>
      <c r="K134" s="15">
        <v>4.5</v>
      </c>
      <c r="L134" s="15">
        <v>5</v>
      </c>
    </row>
    <row r="135" spans="1:12">
      <c r="A135" s="18"/>
      <c r="B135" s="18" t="s">
        <v>30</v>
      </c>
      <c r="C135" s="18" t="s">
        <v>114</v>
      </c>
      <c r="D135" s="18" t="s">
        <v>14</v>
      </c>
      <c r="E135" s="18" t="s">
        <v>17</v>
      </c>
      <c r="F135" s="18" t="s">
        <v>34</v>
      </c>
      <c r="G135" s="18"/>
      <c r="H135" s="18"/>
      <c r="I135" s="18"/>
      <c r="J135" s="18"/>
      <c r="K135" s="18"/>
      <c r="L135" s="14"/>
    </row>
    <row r="136" spans="1:12">
      <c r="A136" s="18"/>
      <c r="B136" s="18"/>
      <c r="C136" s="18"/>
      <c r="D136" s="18"/>
      <c r="E136" s="18"/>
      <c r="F136" s="14">
        <v>5</v>
      </c>
      <c r="G136" s="8">
        <v>100000</v>
      </c>
      <c r="H136" s="14">
        <v>1</v>
      </c>
      <c r="I136" s="14">
        <v>4.4000000000000004</v>
      </c>
      <c r="J136" s="14">
        <v>0</v>
      </c>
      <c r="K136" s="14">
        <v>4.4000000000000004</v>
      </c>
      <c r="L136" s="14">
        <v>5</v>
      </c>
    </row>
    <row r="137" spans="1:12">
      <c r="A137" s="19"/>
      <c r="B137" s="19" t="s">
        <v>30</v>
      </c>
      <c r="C137" s="19" t="s">
        <v>114</v>
      </c>
      <c r="D137" s="19" t="s">
        <v>14</v>
      </c>
      <c r="E137" s="19" t="s">
        <v>17</v>
      </c>
      <c r="F137" s="19" t="s">
        <v>35</v>
      </c>
      <c r="G137" s="19"/>
      <c r="H137" s="19"/>
      <c r="I137" s="19"/>
      <c r="J137" s="19"/>
      <c r="K137" s="19"/>
      <c r="L137" s="15"/>
    </row>
    <row r="138" spans="1:12">
      <c r="A138" s="19"/>
      <c r="B138" s="19"/>
      <c r="C138" s="19"/>
      <c r="D138" s="19"/>
      <c r="E138" s="19"/>
      <c r="F138" s="15">
        <v>5</v>
      </c>
      <c r="G138" s="7">
        <v>100000</v>
      </c>
      <c r="H138" s="15">
        <v>1</v>
      </c>
      <c r="I138" s="15">
        <v>4.45</v>
      </c>
      <c r="J138" s="15">
        <v>0</v>
      </c>
      <c r="K138" s="15">
        <v>4.45</v>
      </c>
      <c r="L138" s="15">
        <v>5</v>
      </c>
    </row>
    <row r="139" spans="1:12">
      <c r="A139" s="18"/>
      <c r="B139" s="18" t="s">
        <v>36</v>
      </c>
      <c r="C139" s="18" t="s">
        <v>37</v>
      </c>
      <c r="D139" s="18" t="s">
        <v>14</v>
      </c>
      <c r="E139" s="18" t="s">
        <v>17</v>
      </c>
      <c r="F139" s="18"/>
      <c r="G139" s="18"/>
      <c r="H139" s="18"/>
      <c r="I139" s="18"/>
      <c r="J139" s="18"/>
      <c r="K139" s="18"/>
      <c r="L139" s="14"/>
    </row>
    <row r="140" spans="1:12">
      <c r="A140" s="18"/>
      <c r="B140" s="18"/>
      <c r="C140" s="18"/>
      <c r="D140" s="18"/>
      <c r="E140" s="18"/>
      <c r="F140" s="14">
        <v>5</v>
      </c>
      <c r="G140" s="8">
        <v>100000</v>
      </c>
      <c r="H140" s="14">
        <v>2.4500000000000002</v>
      </c>
      <c r="I140" s="14">
        <v>4.8499999999999996</v>
      </c>
      <c r="J140" s="14">
        <v>0</v>
      </c>
      <c r="K140" s="14">
        <v>4.8499999999999996</v>
      </c>
      <c r="L140" s="14">
        <v>5</v>
      </c>
    </row>
    <row r="141" spans="1:12">
      <c r="A141" s="19"/>
      <c r="B141" s="19" t="s">
        <v>38</v>
      </c>
      <c r="C141" s="19" t="s">
        <v>115</v>
      </c>
      <c r="D141" s="19" t="s">
        <v>14</v>
      </c>
      <c r="E141" s="19" t="s">
        <v>15</v>
      </c>
      <c r="F141" s="19" t="s">
        <v>116</v>
      </c>
      <c r="G141" s="19"/>
      <c r="H141" s="19"/>
      <c r="I141" s="19"/>
      <c r="J141" s="19"/>
      <c r="K141" s="19"/>
      <c r="L141" s="15"/>
    </row>
    <row r="142" spans="1:12">
      <c r="A142" s="19"/>
      <c r="B142" s="19"/>
      <c r="C142" s="19"/>
      <c r="D142" s="19"/>
      <c r="E142" s="19"/>
      <c r="F142" s="15">
        <v>5</v>
      </c>
      <c r="G142" s="7">
        <v>100000</v>
      </c>
      <c r="H142" s="15">
        <v>0.25</v>
      </c>
      <c r="I142" s="15">
        <v>4.8499999999999996</v>
      </c>
      <c r="J142" s="15">
        <v>0</v>
      </c>
      <c r="K142" s="15">
        <v>4.8499999999999996</v>
      </c>
      <c r="L142" s="15">
        <v>5</v>
      </c>
    </row>
    <row r="143" spans="1:12">
      <c r="A143" s="18"/>
      <c r="B143" s="18" t="s">
        <v>38</v>
      </c>
      <c r="C143" s="18" t="s">
        <v>117</v>
      </c>
      <c r="D143" s="18" t="s">
        <v>14</v>
      </c>
      <c r="E143" s="18" t="s">
        <v>15</v>
      </c>
      <c r="F143" s="18" t="s">
        <v>118</v>
      </c>
      <c r="G143" s="18"/>
      <c r="H143" s="18"/>
      <c r="I143" s="18"/>
      <c r="J143" s="18"/>
      <c r="K143" s="18"/>
      <c r="L143" s="14"/>
    </row>
    <row r="144" spans="1:12">
      <c r="A144" s="18"/>
      <c r="B144" s="18"/>
      <c r="C144" s="18"/>
      <c r="D144" s="18"/>
      <c r="E144" s="18"/>
      <c r="F144" s="14">
        <v>5</v>
      </c>
      <c r="G144" s="8">
        <v>100000</v>
      </c>
      <c r="H144" s="14">
        <v>0.25</v>
      </c>
      <c r="I144" s="14">
        <v>4.95</v>
      </c>
      <c r="J144" s="14">
        <v>0</v>
      </c>
      <c r="K144" s="14">
        <v>4.95</v>
      </c>
      <c r="L144" s="14">
        <v>5</v>
      </c>
    </row>
    <row r="145" spans="1:12">
      <c r="A145" s="19"/>
      <c r="B145" s="19" t="s">
        <v>38</v>
      </c>
      <c r="C145" s="19" t="s">
        <v>119</v>
      </c>
      <c r="D145" s="19" t="s">
        <v>14</v>
      </c>
      <c r="E145" s="19" t="s">
        <v>15</v>
      </c>
      <c r="F145" s="19" t="s">
        <v>116</v>
      </c>
      <c r="G145" s="19"/>
      <c r="H145" s="19"/>
      <c r="I145" s="19"/>
      <c r="J145" s="19"/>
      <c r="K145" s="19"/>
      <c r="L145" s="15"/>
    </row>
    <row r="146" spans="1:12">
      <c r="A146" s="19"/>
      <c r="B146" s="19"/>
      <c r="C146" s="19"/>
      <c r="D146" s="19"/>
      <c r="E146" s="19"/>
      <c r="F146" s="15">
        <v>5</v>
      </c>
      <c r="G146" s="7">
        <v>100000</v>
      </c>
      <c r="H146" s="15">
        <v>0.25</v>
      </c>
      <c r="I146" s="15">
        <v>4.7</v>
      </c>
      <c r="J146" s="15">
        <v>0</v>
      </c>
      <c r="K146" s="15">
        <v>4.7</v>
      </c>
      <c r="L146" s="15">
        <v>5</v>
      </c>
    </row>
    <row r="147" spans="1:12">
      <c r="A147" s="18"/>
      <c r="B147" s="18" t="s">
        <v>44</v>
      </c>
      <c r="C147" s="18" t="s">
        <v>45</v>
      </c>
      <c r="D147" s="18" t="s">
        <v>14</v>
      </c>
      <c r="E147" s="18" t="s">
        <v>17</v>
      </c>
      <c r="F147" s="18" t="s">
        <v>120</v>
      </c>
      <c r="G147" s="18"/>
      <c r="H147" s="18"/>
      <c r="I147" s="18"/>
      <c r="J147" s="18"/>
      <c r="K147" s="18"/>
      <c r="L147" s="14"/>
    </row>
    <row r="148" spans="1:12">
      <c r="A148" s="18"/>
      <c r="B148" s="18"/>
      <c r="C148" s="18"/>
      <c r="D148" s="18"/>
      <c r="E148" s="18"/>
      <c r="F148" s="14">
        <v>5</v>
      </c>
      <c r="G148" s="8">
        <v>100000</v>
      </c>
      <c r="H148" s="14">
        <v>0.05</v>
      </c>
      <c r="I148" s="14">
        <v>4.5</v>
      </c>
      <c r="J148" s="14">
        <v>0</v>
      </c>
      <c r="K148" s="14">
        <v>4.5</v>
      </c>
      <c r="L148" s="14">
        <v>5</v>
      </c>
    </row>
    <row r="149" spans="1:12">
      <c r="A149" s="19"/>
      <c r="B149" s="19" t="s">
        <v>44</v>
      </c>
      <c r="C149" s="19" t="s">
        <v>45</v>
      </c>
      <c r="D149" s="19" t="s">
        <v>14</v>
      </c>
      <c r="E149" s="19" t="s">
        <v>17</v>
      </c>
      <c r="F149" s="19" t="s">
        <v>121</v>
      </c>
      <c r="G149" s="19"/>
      <c r="H149" s="19"/>
      <c r="I149" s="19"/>
      <c r="J149" s="19"/>
      <c r="K149" s="19"/>
      <c r="L149" s="15"/>
    </row>
    <row r="150" spans="1:12">
      <c r="A150" s="19"/>
      <c r="B150" s="19"/>
      <c r="C150" s="19"/>
      <c r="D150" s="19"/>
      <c r="E150" s="19"/>
      <c r="F150" s="15">
        <v>5</v>
      </c>
      <c r="G150" s="7">
        <v>100000</v>
      </c>
      <c r="H150" s="15">
        <v>0.05</v>
      </c>
      <c r="I150" s="15">
        <v>4.7</v>
      </c>
      <c r="J150" s="15">
        <v>0</v>
      </c>
      <c r="K150" s="15">
        <v>4.7</v>
      </c>
      <c r="L150" s="15">
        <v>5</v>
      </c>
    </row>
    <row r="151" spans="1:12">
      <c r="A151" s="18"/>
      <c r="B151" s="18" t="s">
        <v>44</v>
      </c>
      <c r="C151" s="18" t="s">
        <v>45</v>
      </c>
      <c r="D151" s="18" t="s">
        <v>14</v>
      </c>
      <c r="E151" s="18" t="s">
        <v>17</v>
      </c>
      <c r="F151" s="18" t="s">
        <v>122</v>
      </c>
      <c r="G151" s="18"/>
      <c r="H151" s="18"/>
      <c r="I151" s="18"/>
      <c r="J151" s="18"/>
      <c r="K151" s="18"/>
      <c r="L151" s="14"/>
    </row>
    <row r="152" spans="1:12">
      <c r="A152" s="18"/>
      <c r="B152" s="18"/>
      <c r="C152" s="18"/>
      <c r="D152" s="18"/>
      <c r="E152" s="18"/>
      <c r="F152" s="14">
        <v>5</v>
      </c>
      <c r="G152" s="8">
        <v>100000</v>
      </c>
      <c r="H152" s="14">
        <v>0.05</v>
      </c>
      <c r="I152" s="14">
        <v>4.3</v>
      </c>
      <c r="J152" s="14">
        <v>0</v>
      </c>
      <c r="K152" s="14">
        <v>4.3</v>
      </c>
      <c r="L152" s="14">
        <v>5</v>
      </c>
    </row>
    <row r="153" spans="1:12">
      <c r="A153" s="19"/>
      <c r="B153" s="19" t="s">
        <v>49</v>
      </c>
      <c r="C153" s="19" t="s">
        <v>50</v>
      </c>
      <c r="D153" s="19" t="s">
        <v>14</v>
      </c>
      <c r="E153" s="19" t="s">
        <v>17</v>
      </c>
      <c r="F153" s="19"/>
      <c r="G153" s="19"/>
      <c r="H153" s="19"/>
      <c r="I153" s="19"/>
      <c r="J153" s="19"/>
      <c r="K153" s="19"/>
      <c r="L153" s="15"/>
    </row>
    <row r="154" spans="1:12">
      <c r="A154" s="19"/>
      <c r="B154" s="19"/>
      <c r="C154" s="19"/>
      <c r="D154" s="19"/>
      <c r="E154" s="19"/>
      <c r="F154" s="15">
        <v>5</v>
      </c>
      <c r="G154" s="7">
        <v>100000</v>
      </c>
      <c r="H154" s="15">
        <v>0.25</v>
      </c>
      <c r="I154" s="15">
        <v>4.9000000000000004</v>
      </c>
      <c r="J154" s="15">
        <v>0</v>
      </c>
      <c r="K154" s="15">
        <v>4.9000000000000004</v>
      </c>
      <c r="L154" s="15">
        <v>5</v>
      </c>
    </row>
    <row r="155" spans="1:12">
      <c r="A155" s="18"/>
      <c r="B155" s="18" t="s">
        <v>51</v>
      </c>
      <c r="C155" s="18" t="s">
        <v>123</v>
      </c>
      <c r="D155" s="18" t="s">
        <v>14</v>
      </c>
      <c r="E155" s="18" t="s">
        <v>17</v>
      </c>
      <c r="F155" s="18"/>
      <c r="G155" s="18"/>
      <c r="H155" s="18"/>
      <c r="I155" s="18"/>
      <c r="J155" s="18"/>
      <c r="K155" s="18"/>
      <c r="L155" s="14"/>
    </row>
    <row r="156" spans="1:12">
      <c r="A156" s="18"/>
      <c r="B156" s="18"/>
      <c r="C156" s="18"/>
      <c r="D156" s="18"/>
      <c r="E156" s="18"/>
      <c r="F156" s="14">
        <v>5</v>
      </c>
      <c r="G156" s="8">
        <v>100000</v>
      </c>
      <c r="H156" s="14">
        <v>1</v>
      </c>
      <c r="I156" s="14">
        <v>4.3</v>
      </c>
      <c r="J156" s="14">
        <v>0</v>
      </c>
      <c r="K156" s="14">
        <v>4.3</v>
      </c>
      <c r="L156" s="14">
        <v>5</v>
      </c>
    </row>
    <row r="157" spans="1:12">
      <c r="A157" s="19"/>
      <c r="B157" s="19" t="s">
        <v>53</v>
      </c>
      <c r="C157" s="19" t="s">
        <v>124</v>
      </c>
      <c r="D157" s="19" t="s">
        <v>14</v>
      </c>
      <c r="E157" s="19" t="s">
        <v>17</v>
      </c>
      <c r="F157" s="19" t="s">
        <v>125</v>
      </c>
      <c r="G157" s="19"/>
      <c r="H157" s="19"/>
      <c r="I157" s="19"/>
      <c r="J157" s="19"/>
      <c r="K157" s="19"/>
      <c r="L157" s="15"/>
    </row>
    <row r="158" spans="1:12">
      <c r="A158" s="19"/>
      <c r="B158" s="19"/>
      <c r="C158" s="19"/>
      <c r="D158" s="19"/>
      <c r="E158" s="19"/>
      <c r="F158" s="15">
        <v>5</v>
      </c>
      <c r="G158" s="7">
        <v>100000</v>
      </c>
      <c r="H158" s="15">
        <v>0.1</v>
      </c>
      <c r="I158" s="15">
        <v>4.5</v>
      </c>
      <c r="J158" s="15">
        <v>0</v>
      </c>
      <c r="K158" s="15">
        <v>4.5</v>
      </c>
      <c r="L158" s="15">
        <v>5</v>
      </c>
    </row>
    <row r="159" spans="1:12">
      <c r="A159" s="18"/>
      <c r="B159" s="18" t="s">
        <v>111</v>
      </c>
      <c r="C159" s="18" t="s">
        <v>112</v>
      </c>
      <c r="D159" s="18" t="s">
        <v>14</v>
      </c>
      <c r="E159" s="18" t="s">
        <v>17</v>
      </c>
      <c r="F159" s="18"/>
      <c r="G159" s="18"/>
      <c r="H159" s="18"/>
      <c r="I159" s="18"/>
      <c r="J159" s="18"/>
      <c r="K159" s="18"/>
      <c r="L159" s="14"/>
    </row>
    <row r="160" spans="1:12">
      <c r="A160" s="18"/>
      <c r="B160" s="18"/>
      <c r="C160" s="18"/>
      <c r="D160" s="18"/>
      <c r="E160" s="18"/>
      <c r="F160" s="14">
        <v>5</v>
      </c>
      <c r="G160" s="8">
        <v>100000</v>
      </c>
      <c r="H160" s="14">
        <v>2.7</v>
      </c>
      <c r="I160" s="14">
        <v>4.3</v>
      </c>
      <c r="J160" s="14">
        <v>0</v>
      </c>
      <c r="K160" s="14">
        <v>4.3</v>
      </c>
      <c r="L160" s="14">
        <v>5</v>
      </c>
    </row>
    <row r="161" spans="1:12">
      <c r="A161" s="19"/>
      <c r="B161" s="19" t="s">
        <v>12</v>
      </c>
      <c r="C161" s="19" t="s">
        <v>16</v>
      </c>
      <c r="D161" s="19" t="s">
        <v>14</v>
      </c>
      <c r="E161" s="19" t="s">
        <v>17</v>
      </c>
      <c r="F161" s="19" t="s">
        <v>126</v>
      </c>
      <c r="G161" s="19"/>
      <c r="H161" s="19"/>
      <c r="I161" s="19"/>
      <c r="J161" s="19"/>
      <c r="K161" s="19"/>
      <c r="L161" s="15"/>
    </row>
    <row r="162" spans="1:12">
      <c r="A162" s="19"/>
      <c r="B162" s="19"/>
      <c r="C162" s="19"/>
      <c r="D162" s="19"/>
      <c r="E162" s="19"/>
      <c r="F162" s="15">
        <v>5</v>
      </c>
      <c r="G162" s="7">
        <v>20000</v>
      </c>
      <c r="H162" s="15">
        <v>2.5</v>
      </c>
      <c r="I162" s="15">
        <v>3.65</v>
      </c>
      <c r="J162" s="15">
        <v>1</v>
      </c>
      <c r="K162" s="15">
        <v>3.8490000000000002</v>
      </c>
      <c r="L162" s="15">
        <v>5</v>
      </c>
    </row>
    <row r="163" spans="1:12">
      <c r="A163" s="18"/>
      <c r="B163" s="18" t="s">
        <v>12</v>
      </c>
      <c r="C163" s="18" t="s">
        <v>13</v>
      </c>
      <c r="D163" s="18" t="s">
        <v>92</v>
      </c>
      <c r="E163" s="18" t="s">
        <v>15</v>
      </c>
      <c r="F163" s="18"/>
      <c r="G163" s="18"/>
      <c r="H163" s="18"/>
      <c r="I163" s="18"/>
      <c r="J163" s="18"/>
      <c r="K163" s="18"/>
      <c r="L163" s="14"/>
    </row>
    <row r="164" spans="1:12">
      <c r="A164" s="18"/>
      <c r="B164" s="18"/>
      <c r="C164" s="18"/>
      <c r="D164" s="18"/>
      <c r="E164" s="18"/>
      <c r="F164" s="14">
        <v>5</v>
      </c>
      <c r="G164" s="8">
        <v>2000</v>
      </c>
      <c r="H164" s="14">
        <v>2.5</v>
      </c>
      <c r="I164" s="14">
        <v>3.7</v>
      </c>
      <c r="J164" s="14">
        <v>0.75</v>
      </c>
      <c r="K164" s="14">
        <v>3.4620000000000002</v>
      </c>
      <c r="L164" s="14">
        <v>7</v>
      </c>
    </row>
    <row r="165" spans="1:12">
      <c r="A165" s="19"/>
      <c r="B165" s="19" t="s">
        <v>12</v>
      </c>
      <c r="C165" s="19" t="s">
        <v>57</v>
      </c>
      <c r="D165" s="19" t="s">
        <v>92</v>
      </c>
      <c r="E165" s="19" t="s">
        <v>17</v>
      </c>
      <c r="F165" s="19"/>
      <c r="G165" s="19"/>
      <c r="H165" s="19"/>
      <c r="I165" s="19"/>
      <c r="J165" s="19"/>
      <c r="K165" s="19"/>
      <c r="L165" s="15"/>
    </row>
    <row r="166" spans="1:12">
      <c r="A166" s="19"/>
      <c r="B166" s="19"/>
      <c r="C166" s="19"/>
      <c r="D166" s="19"/>
      <c r="E166" s="19"/>
      <c r="F166" s="15">
        <v>5</v>
      </c>
      <c r="G166" s="7">
        <v>3000</v>
      </c>
      <c r="H166" s="15">
        <v>2.5</v>
      </c>
      <c r="I166" s="15">
        <v>3.6</v>
      </c>
      <c r="J166" s="15">
        <v>1</v>
      </c>
      <c r="K166" s="15">
        <v>3.4260000000000002</v>
      </c>
      <c r="L166" s="15">
        <v>7</v>
      </c>
    </row>
    <row r="167" spans="1:12">
      <c r="A167" s="18"/>
      <c r="B167" s="18" t="s">
        <v>58</v>
      </c>
      <c r="C167" s="18" t="s">
        <v>59</v>
      </c>
      <c r="D167" s="18" t="s">
        <v>14</v>
      </c>
      <c r="E167" s="18" t="s">
        <v>17</v>
      </c>
      <c r="F167" s="18"/>
      <c r="G167" s="18"/>
      <c r="H167" s="18"/>
      <c r="I167" s="18"/>
      <c r="J167" s="18"/>
      <c r="K167" s="18"/>
      <c r="L167" s="14"/>
    </row>
    <row r="168" spans="1:12">
      <c r="A168" s="18"/>
      <c r="B168" s="18"/>
      <c r="C168" s="18"/>
      <c r="D168" s="18"/>
      <c r="E168" s="18"/>
      <c r="F168" s="14">
        <v>5</v>
      </c>
      <c r="G168" s="8">
        <v>100000</v>
      </c>
      <c r="H168" s="14">
        <v>2.4</v>
      </c>
      <c r="I168" s="14">
        <v>4.3499999999999996</v>
      </c>
      <c r="J168" s="14">
        <v>0</v>
      </c>
      <c r="K168" s="14">
        <v>4.3499999999999996</v>
      </c>
      <c r="L168" s="14">
        <v>5</v>
      </c>
    </row>
    <row r="169" spans="1:12">
      <c r="A169" s="19"/>
      <c r="B169" s="19" t="s">
        <v>19</v>
      </c>
      <c r="C169" s="19" t="s">
        <v>20</v>
      </c>
      <c r="D169" s="19" t="s">
        <v>14</v>
      </c>
      <c r="E169" s="19" t="s">
        <v>17</v>
      </c>
      <c r="F169" s="19"/>
      <c r="G169" s="19"/>
      <c r="H169" s="19"/>
      <c r="I169" s="19"/>
      <c r="J169" s="19"/>
      <c r="K169" s="19"/>
      <c r="L169" s="15"/>
    </row>
    <row r="170" spans="1:12">
      <c r="A170" s="19"/>
      <c r="B170" s="19"/>
      <c r="C170" s="19"/>
      <c r="D170" s="19"/>
      <c r="E170" s="19"/>
      <c r="F170" s="15">
        <v>5</v>
      </c>
      <c r="G170" s="7">
        <v>100000</v>
      </c>
      <c r="H170" s="15">
        <v>1.4</v>
      </c>
      <c r="I170" s="15">
        <v>4.75</v>
      </c>
      <c r="J170" s="15">
        <v>0</v>
      </c>
      <c r="K170" s="15">
        <v>4.75</v>
      </c>
      <c r="L170" s="15">
        <v>5</v>
      </c>
    </row>
    <row r="171" spans="1:12">
      <c r="A171" s="18"/>
      <c r="B171" s="18" t="s">
        <v>60</v>
      </c>
      <c r="C171" s="18" t="s">
        <v>61</v>
      </c>
      <c r="D171" s="18" t="s">
        <v>14</v>
      </c>
      <c r="E171" s="18" t="s">
        <v>62</v>
      </c>
      <c r="F171" s="18"/>
      <c r="G171" s="18"/>
      <c r="H171" s="18"/>
      <c r="I171" s="18"/>
      <c r="J171" s="18"/>
      <c r="K171" s="18"/>
      <c r="L171" s="14"/>
    </row>
    <row r="172" spans="1:12">
      <c r="A172" s="18"/>
      <c r="B172" s="18"/>
      <c r="C172" s="18"/>
      <c r="D172" s="18"/>
      <c r="E172" s="18"/>
      <c r="F172" s="14">
        <v>5</v>
      </c>
      <c r="G172" s="8">
        <v>100000</v>
      </c>
      <c r="H172" s="14">
        <v>2.4500000000000002</v>
      </c>
      <c r="I172" s="14">
        <v>4.3499999999999996</v>
      </c>
      <c r="J172" s="14">
        <v>0</v>
      </c>
      <c r="K172" s="14">
        <v>4.3499999999999996</v>
      </c>
      <c r="L172" s="14">
        <v>5</v>
      </c>
    </row>
    <row r="173" spans="1:12">
      <c r="A173" s="19"/>
      <c r="B173" s="19" t="s">
        <v>63</v>
      </c>
      <c r="C173" s="19" t="s">
        <v>64</v>
      </c>
      <c r="D173" s="19" t="s">
        <v>14</v>
      </c>
      <c r="E173" s="19" t="s">
        <v>17</v>
      </c>
      <c r="F173" s="19" t="s">
        <v>65</v>
      </c>
      <c r="G173" s="19"/>
      <c r="H173" s="19"/>
      <c r="I173" s="19"/>
      <c r="J173" s="19"/>
      <c r="K173" s="19"/>
      <c r="L173" s="15"/>
    </row>
    <row r="174" spans="1:12">
      <c r="A174" s="19"/>
      <c r="B174" s="19"/>
      <c r="C174" s="19"/>
      <c r="D174" s="19"/>
      <c r="E174" s="19"/>
      <c r="F174" s="15">
        <v>5</v>
      </c>
      <c r="G174" s="7">
        <v>100000</v>
      </c>
      <c r="H174" s="15">
        <v>0.1</v>
      </c>
      <c r="I174" s="15">
        <v>5</v>
      </c>
      <c r="J174" s="15">
        <v>0</v>
      </c>
      <c r="K174" s="15">
        <v>5</v>
      </c>
      <c r="L174" s="15">
        <v>5</v>
      </c>
    </row>
    <row r="175" spans="1:12">
      <c r="A175" s="18"/>
      <c r="B175" s="18" t="s">
        <v>26</v>
      </c>
      <c r="C175" s="18" t="s">
        <v>27</v>
      </c>
      <c r="D175" s="18" t="s">
        <v>14</v>
      </c>
      <c r="E175" s="18" t="s">
        <v>17</v>
      </c>
      <c r="F175" s="18"/>
      <c r="G175" s="18"/>
      <c r="H175" s="18"/>
      <c r="I175" s="18"/>
      <c r="J175" s="18"/>
      <c r="K175" s="18"/>
      <c r="L175" s="14"/>
    </row>
    <row r="176" spans="1:12">
      <c r="A176" s="18"/>
      <c r="B176" s="18"/>
      <c r="C176" s="18"/>
      <c r="D176" s="18"/>
      <c r="E176" s="18"/>
      <c r="F176" s="14">
        <v>5</v>
      </c>
      <c r="G176" s="8">
        <v>100000</v>
      </c>
      <c r="H176" s="14">
        <v>1</v>
      </c>
      <c r="I176" s="14">
        <v>4.4000000000000004</v>
      </c>
      <c r="J176" s="14">
        <v>0</v>
      </c>
      <c r="K176" s="14">
        <v>4.4000000000000004</v>
      </c>
      <c r="L176" s="14">
        <v>5</v>
      </c>
    </row>
    <row r="177" spans="1:12">
      <c r="A177" s="19"/>
      <c r="B177" s="19" t="s">
        <v>21</v>
      </c>
      <c r="C177" s="19" t="s">
        <v>22</v>
      </c>
      <c r="D177" s="19" t="s">
        <v>14</v>
      </c>
      <c r="E177" s="19" t="s">
        <v>15</v>
      </c>
      <c r="F177" s="19"/>
      <c r="G177" s="19"/>
      <c r="H177" s="19"/>
      <c r="I177" s="19"/>
      <c r="J177" s="19"/>
      <c r="K177" s="19"/>
      <c r="L177" s="15"/>
    </row>
    <row r="178" spans="1:12">
      <c r="A178" s="19"/>
      <c r="B178" s="19"/>
      <c r="C178" s="19"/>
      <c r="D178" s="19"/>
      <c r="E178" s="19"/>
      <c r="F178" s="15">
        <v>5</v>
      </c>
      <c r="G178" s="7">
        <v>2000</v>
      </c>
      <c r="H178" s="15">
        <v>0</v>
      </c>
      <c r="I178" s="15">
        <v>3.5</v>
      </c>
      <c r="J178" s="15">
        <v>0</v>
      </c>
      <c r="K178" s="15">
        <v>3.5</v>
      </c>
      <c r="L178" s="15">
        <v>5</v>
      </c>
    </row>
    <row r="179" spans="1:12">
      <c r="A179" s="18"/>
      <c r="B179" s="18" t="s">
        <v>21</v>
      </c>
      <c r="C179" s="18" t="s">
        <v>66</v>
      </c>
      <c r="D179" s="18" t="s">
        <v>14</v>
      </c>
      <c r="E179" s="18" t="s">
        <v>17</v>
      </c>
      <c r="F179" s="18" t="s">
        <v>127</v>
      </c>
      <c r="G179" s="18"/>
      <c r="H179" s="18"/>
      <c r="I179" s="18"/>
      <c r="J179" s="18"/>
      <c r="K179" s="18"/>
      <c r="L179" s="14"/>
    </row>
    <row r="180" spans="1:12">
      <c r="A180" s="18"/>
      <c r="B180" s="18"/>
      <c r="C180" s="18"/>
      <c r="D180" s="18"/>
      <c r="E180" s="18"/>
      <c r="F180" s="14">
        <v>5</v>
      </c>
      <c r="G180" s="8">
        <v>100000</v>
      </c>
      <c r="H180" s="14">
        <v>0.5</v>
      </c>
      <c r="I180" s="14">
        <v>5.05</v>
      </c>
      <c r="J180" s="14">
        <v>0</v>
      </c>
      <c r="K180" s="14">
        <v>5.05</v>
      </c>
      <c r="L180" s="14">
        <v>5</v>
      </c>
    </row>
    <row r="181" spans="1:12">
      <c r="A181" s="19"/>
      <c r="B181" s="19" t="s">
        <v>21</v>
      </c>
      <c r="C181" s="19" t="s">
        <v>66</v>
      </c>
      <c r="D181" s="19" t="s">
        <v>14</v>
      </c>
      <c r="E181" s="19" t="s">
        <v>17</v>
      </c>
      <c r="F181" s="19" t="s">
        <v>128</v>
      </c>
      <c r="G181" s="19"/>
      <c r="H181" s="19"/>
      <c r="I181" s="19"/>
      <c r="J181" s="19"/>
      <c r="K181" s="19"/>
      <c r="L181" s="15"/>
    </row>
    <row r="182" spans="1:12">
      <c r="A182" s="19"/>
      <c r="B182" s="19"/>
      <c r="C182" s="19"/>
      <c r="D182" s="19"/>
      <c r="E182" s="19"/>
      <c r="F182" s="15">
        <v>5</v>
      </c>
      <c r="G182" s="7">
        <v>100000</v>
      </c>
      <c r="H182" s="15">
        <v>0.5</v>
      </c>
      <c r="I182" s="15">
        <v>4.0999999999999996</v>
      </c>
      <c r="J182" s="15">
        <v>0</v>
      </c>
      <c r="K182" s="15">
        <v>4.0999999999999996</v>
      </c>
      <c r="L182" s="15">
        <v>5</v>
      </c>
    </row>
    <row r="183" spans="1:12">
      <c r="A183" s="18"/>
      <c r="B183" s="18" t="s">
        <v>21</v>
      </c>
      <c r="C183" s="18" t="s">
        <v>66</v>
      </c>
      <c r="D183" s="18" t="s">
        <v>14</v>
      </c>
      <c r="E183" s="18" t="s">
        <v>17</v>
      </c>
      <c r="F183" s="18" t="s">
        <v>129</v>
      </c>
      <c r="G183" s="18"/>
      <c r="H183" s="18"/>
      <c r="I183" s="18"/>
      <c r="J183" s="18"/>
      <c r="K183" s="18"/>
      <c r="L183" s="14"/>
    </row>
    <row r="184" spans="1:12">
      <c r="A184" s="18"/>
      <c r="B184" s="18"/>
      <c r="C184" s="18"/>
      <c r="D184" s="18"/>
      <c r="E184" s="18"/>
      <c r="F184" s="14">
        <v>5</v>
      </c>
      <c r="G184" s="8">
        <v>100000</v>
      </c>
      <c r="H184" s="14">
        <v>0.5</v>
      </c>
      <c r="I184" s="14">
        <v>4.7</v>
      </c>
      <c r="J184" s="14">
        <v>0</v>
      </c>
      <c r="K184" s="14">
        <v>4.7</v>
      </c>
      <c r="L184" s="14">
        <v>7</v>
      </c>
    </row>
    <row r="185" spans="1:12">
      <c r="A185" s="19"/>
      <c r="B185" s="19" t="s">
        <v>21</v>
      </c>
      <c r="C185" s="19" t="s">
        <v>66</v>
      </c>
      <c r="D185" s="19" t="s">
        <v>14</v>
      </c>
      <c r="E185" s="19" t="s">
        <v>17</v>
      </c>
      <c r="F185" s="19" t="s">
        <v>130</v>
      </c>
      <c r="G185" s="19"/>
      <c r="H185" s="19"/>
      <c r="I185" s="19"/>
      <c r="J185" s="19"/>
      <c r="K185" s="19"/>
      <c r="L185" s="15"/>
    </row>
    <row r="186" spans="1:12">
      <c r="A186" s="19"/>
      <c r="B186" s="19"/>
      <c r="C186" s="19"/>
      <c r="D186" s="19"/>
      <c r="E186" s="19"/>
      <c r="F186" s="15">
        <v>5</v>
      </c>
      <c r="G186" s="7">
        <v>100000</v>
      </c>
      <c r="H186" s="15">
        <v>0.5</v>
      </c>
      <c r="I186" s="15">
        <v>4.1500000000000004</v>
      </c>
      <c r="J186" s="15">
        <v>0</v>
      </c>
      <c r="K186" s="15">
        <v>4.1500000000000004</v>
      </c>
      <c r="L186" s="15">
        <v>7</v>
      </c>
    </row>
    <row r="187" spans="1:12">
      <c r="A187" s="18"/>
      <c r="B187" s="18" t="s">
        <v>69</v>
      </c>
      <c r="C187" s="18" t="s">
        <v>70</v>
      </c>
      <c r="D187" s="18" t="s">
        <v>14</v>
      </c>
      <c r="E187" s="18" t="s">
        <v>17</v>
      </c>
      <c r="F187" s="18"/>
      <c r="G187" s="18"/>
      <c r="H187" s="18"/>
      <c r="I187" s="18"/>
      <c r="J187" s="18"/>
      <c r="K187" s="18"/>
      <c r="L187" s="14"/>
    </row>
    <row r="188" spans="1:12">
      <c r="A188" s="18"/>
      <c r="B188" s="18"/>
      <c r="C188" s="18"/>
      <c r="D188" s="18"/>
      <c r="E188" s="18"/>
      <c r="F188" s="14">
        <v>5</v>
      </c>
      <c r="G188" s="8">
        <v>100000</v>
      </c>
      <c r="H188" s="14">
        <v>0.05</v>
      </c>
      <c r="I188" s="14">
        <v>4.3</v>
      </c>
      <c r="J188" s="14">
        <v>0</v>
      </c>
      <c r="K188" s="14">
        <v>4.3</v>
      </c>
      <c r="L188" s="14">
        <v>5</v>
      </c>
    </row>
    <row r="189" spans="1:12">
      <c r="A189" s="19"/>
      <c r="B189" s="19" t="s">
        <v>69</v>
      </c>
      <c r="C189" s="19" t="s">
        <v>71</v>
      </c>
      <c r="D189" s="19" t="s">
        <v>14</v>
      </c>
      <c r="E189" s="19" t="s">
        <v>17</v>
      </c>
      <c r="F189" s="19"/>
      <c r="G189" s="19"/>
      <c r="H189" s="19"/>
      <c r="I189" s="19"/>
      <c r="J189" s="19"/>
      <c r="K189" s="19"/>
      <c r="L189" s="15"/>
    </row>
    <row r="190" spans="1:12">
      <c r="A190" s="19"/>
      <c r="B190" s="19"/>
      <c r="C190" s="19"/>
      <c r="D190" s="19"/>
      <c r="E190" s="19"/>
      <c r="F190" s="15">
        <v>5</v>
      </c>
      <c r="G190" s="7">
        <v>100000</v>
      </c>
      <c r="H190" s="15">
        <v>0.05</v>
      </c>
      <c r="I190" s="15">
        <v>4.3499999999999996</v>
      </c>
      <c r="J190" s="15">
        <v>0</v>
      </c>
      <c r="K190" s="15">
        <v>4.3499999999999996</v>
      </c>
      <c r="L190" s="15">
        <v>5</v>
      </c>
    </row>
    <row r="191" spans="1:12">
      <c r="A191" s="18"/>
      <c r="B191" s="18" t="s">
        <v>72</v>
      </c>
      <c r="C191" s="18" t="s">
        <v>73</v>
      </c>
      <c r="D191" s="18" t="s">
        <v>14</v>
      </c>
      <c r="E191" s="18" t="s">
        <v>17</v>
      </c>
      <c r="F191" s="18"/>
      <c r="G191" s="18"/>
      <c r="H191" s="18"/>
      <c r="I191" s="18"/>
      <c r="J191" s="18"/>
      <c r="K191" s="18"/>
      <c r="L191" s="14"/>
    </row>
    <row r="192" spans="1:12">
      <c r="A192" s="18"/>
      <c r="B192" s="18"/>
      <c r="C192" s="18"/>
      <c r="D192" s="18"/>
      <c r="E192" s="18"/>
      <c r="F192" s="14">
        <v>5</v>
      </c>
      <c r="G192" s="8">
        <v>100000</v>
      </c>
      <c r="H192" s="14">
        <v>1.7</v>
      </c>
      <c r="I192" s="14">
        <v>4.55</v>
      </c>
      <c r="J192" s="14">
        <v>0</v>
      </c>
      <c r="K192" s="14">
        <v>4.55</v>
      </c>
      <c r="L192" s="14">
        <v>5</v>
      </c>
    </row>
    <row r="193" spans="1:12">
      <c r="A193" s="19"/>
      <c r="B193" s="19" t="s">
        <v>74</v>
      </c>
      <c r="C193" s="19" t="s">
        <v>75</v>
      </c>
      <c r="D193" s="19" t="s">
        <v>14</v>
      </c>
      <c r="E193" s="19" t="s">
        <v>15</v>
      </c>
      <c r="F193" s="19" t="s">
        <v>76</v>
      </c>
      <c r="G193" s="19"/>
      <c r="H193" s="19"/>
      <c r="I193" s="19"/>
      <c r="J193" s="19"/>
      <c r="K193" s="19"/>
      <c r="L193" s="15"/>
    </row>
    <row r="194" spans="1:12">
      <c r="A194" s="19"/>
      <c r="B194" s="19"/>
      <c r="C194" s="19"/>
      <c r="D194" s="19"/>
      <c r="E194" s="19"/>
      <c r="F194" s="15">
        <v>5</v>
      </c>
      <c r="G194" s="7">
        <v>75000</v>
      </c>
      <c r="H194" s="15">
        <v>2.35</v>
      </c>
      <c r="I194" s="15">
        <v>5</v>
      </c>
      <c r="J194" s="15">
        <v>0</v>
      </c>
      <c r="K194" s="15">
        <v>5</v>
      </c>
      <c r="L194" s="15">
        <v>5</v>
      </c>
    </row>
    <row r="195" spans="1:12">
      <c r="A195" s="18"/>
      <c r="B195" s="18" t="s">
        <v>74</v>
      </c>
      <c r="C195" s="18" t="s">
        <v>131</v>
      </c>
      <c r="D195" s="18" t="s">
        <v>14</v>
      </c>
      <c r="E195" s="18" t="s">
        <v>17</v>
      </c>
      <c r="F195" s="18" t="s">
        <v>103</v>
      </c>
      <c r="G195" s="18"/>
      <c r="H195" s="18"/>
      <c r="I195" s="18"/>
      <c r="J195" s="18"/>
      <c r="K195" s="18"/>
      <c r="L195" s="14"/>
    </row>
    <row r="196" spans="1:12">
      <c r="A196" s="18"/>
      <c r="B196" s="18"/>
      <c r="C196" s="18"/>
      <c r="D196" s="18"/>
      <c r="E196" s="18"/>
      <c r="F196" s="14">
        <v>5</v>
      </c>
      <c r="G196" s="8">
        <v>100000</v>
      </c>
      <c r="H196" s="14">
        <v>3</v>
      </c>
      <c r="I196" s="14">
        <v>3.5</v>
      </c>
      <c r="J196" s="14">
        <v>1</v>
      </c>
      <c r="K196" s="14">
        <v>3.706</v>
      </c>
      <c r="L196" s="14">
        <v>5</v>
      </c>
    </row>
    <row r="197" spans="1:12">
      <c r="A197" s="19"/>
      <c r="B197" s="19" t="s">
        <v>74</v>
      </c>
      <c r="C197" s="19" t="s">
        <v>131</v>
      </c>
      <c r="D197" s="19" t="s">
        <v>14</v>
      </c>
      <c r="E197" s="19" t="s">
        <v>17</v>
      </c>
      <c r="F197" s="19" t="s">
        <v>132</v>
      </c>
      <c r="G197" s="19"/>
      <c r="H197" s="19"/>
      <c r="I197" s="19"/>
      <c r="J197" s="19"/>
      <c r="K197" s="19"/>
      <c r="L197" s="15"/>
    </row>
    <row r="198" spans="1:12">
      <c r="A198" s="19"/>
      <c r="B198" s="19"/>
      <c r="C198" s="19"/>
      <c r="D198" s="19"/>
      <c r="E198" s="19"/>
      <c r="F198" s="15">
        <v>5</v>
      </c>
      <c r="G198" s="7">
        <v>100000</v>
      </c>
      <c r="H198" s="15">
        <v>3</v>
      </c>
      <c r="I198" s="15">
        <v>3.8</v>
      </c>
      <c r="J198" s="15">
        <v>2.5</v>
      </c>
      <c r="K198" s="15">
        <v>4.3140000000000001</v>
      </c>
      <c r="L198" s="15">
        <v>5</v>
      </c>
    </row>
    <row r="199" spans="1:12">
      <c r="A199" s="18"/>
      <c r="B199" s="18" t="s">
        <v>77</v>
      </c>
      <c r="C199" s="18" t="s">
        <v>78</v>
      </c>
      <c r="D199" s="18" t="s">
        <v>14</v>
      </c>
      <c r="E199" s="18" t="s">
        <v>17</v>
      </c>
      <c r="F199" s="18"/>
      <c r="G199" s="18"/>
      <c r="H199" s="18"/>
      <c r="I199" s="18"/>
      <c r="J199" s="18"/>
      <c r="K199" s="18"/>
      <c r="L199" s="14"/>
    </row>
    <row r="200" spans="1:12">
      <c r="A200" s="18"/>
      <c r="B200" s="18"/>
      <c r="C200" s="18"/>
      <c r="D200" s="18"/>
      <c r="E200" s="18"/>
      <c r="F200" s="14">
        <v>5</v>
      </c>
      <c r="G200" s="8">
        <v>100000</v>
      </c>
      <c r="H200" s="14">
        <v>0.25</v>
      </c>
      <c r="I200" s="14">
        <v>4.8499999999999996</v>
      </c>
      <c r="J200" s="14">
        <v>0</v>
      </c>
      <c r="K200" s="14">
        <v>4.8499999999999996</v>
      </c>
      <c r="L200" s="14">
        <v>5</v>
      </c>
    </row>
    <row r="201" spans="1:12">
      <c r="A201" s="19"/>
      <c r="B201" s="19" t="s">
        <v>23</v>
      </c>
      <c r="C201" s="19" t="s">
        <v>133</v>
      </c>
      <c r="D201" s="19" t="s">
        <v>14</v>
      </c>
      <c r="E201" s="19" t="s">
        <v>17</v>
      </c>
      <c r="F201" s="19"/>
      <c r="G201" s="19"/>
      <c r="H201" s="19"/>
      <c r="I201" s="19"/>
      <c r="J201" s="19"/>
      <c r="K201" s="19"/>
      <c r="L201" s="15"/>
    </row>
    <row r="202" spans="1:12">
      <c r="A202" s="19"/>
      <c r="B202" s="19"/>
      <c r="C202" s="19"/>
      <c r="D202" s="19"/>
      <c r="E202" s="19"/>
      <c r="F202" s="15">
        <v>5</v>
      </c>
      <c r="G202" s="7">
        <v>10000</v>
      </c>
      <c r="H202" s="15">
        <v>3</v>
      </c>
      <c r="I202" s="15">
        <v>4.8</v>
      </c>
      <c r="J202" s="15">
        <v>0</v>
      </c>
      <c r="K202" s="15">
        <v>4.8</v>
      </c>
      <c r="L202" s="15">
        <v>5</v>
      </c>
    </row>
    <row r="203" spans="1:12">
      <c r="A203" s="18"/>
      <c r="B203" s="18" t="s">
        <v>23</v>
      </c>
      <c r="C203" s="18" t="s">
        <v>134</v>
      </c>
      <c r="D203" s="18" t="s">
        <v>14</v>
      </c>
      <c r="E203" s="18" t="s">
        <v>17</v>
      </c>
      <c r="F203" s="18"/>
      <c r="G203" s="18"/>
      <c r="H203" s="18"/>
      <c r="I203" s="18"/>
      <c r="J203" s="18"/>
      <c r="K203" s="18"/>
      <c r="L203" s="14"/>
    </row>
    <row r="204" spans="1:12">
      <c r="A204" s="18"/>
      <c r="B204" s="18"/>
      <c r="C204" s="18"/>
      <c r="D204" s="18"/>
      <c r="E204" s="18"/>
      <c r="F204" s="14">
        <v>5</v>
      </c>
      <c r="G204" s="8">
        <v>10000</v>
      </c>
      <c r="H204" s="14">
        <v>3</v>
      </c>
      <c r="I204" s="14">
        <v>4.6500000000000004</v>
      </c>
      <c r="J204" s="14">
        <v>0</v>
      </c>
      <c r="K204" s="14">
        <v>4.6500000000000004</v>
      </c>
      <c r="L204" s="14">
        <v>5</v>
      </c>
    </row>
    <row r="205" spans="1:12">
      <c r="A205" s="19"/>
      <c r="B205" s="19" t="s">
        <v>23</v>
      </c>
      <c r="C205" s="19" t="s">
        <v>135</v>
      </c>
      <c r="D205" s="19" t="s">
        <v>14</v>
      </c>
      <c r="E205" s="19" t="s">
        <v>17</v>
      </c>
      <c r="F205" s="19"/>
      <c r="G205" s="19"/>
      <c r="H205" s="19"/>
      <c r="I205" s="19"/>
      <c r="J205" s="19"/>
      <c r="K205" s="19"/>
      <c r="L205" s="15"/>
    </row>
    <row r="206" spans="1:12">
      <c r="A206" s="19"/>
      <c r="B206" s="19"/>
      <c r="C206" s="19"/>
      <c r="D206" s="19"/>
      <c r="E206" s="19"/>
      <c r="F206" s="15">
        <v>5</v>
      </c>
      <c r="G206" s="7">
        <v>20000</v>
      </c>
      <c r="H206" s="15">
        <v>3</v>
      </c>
      <c r="I206" s="15">
        <v>4.8</v>
      </c>
      <c r="J206" s="15">
        <v>0</v>
      </c>
      <c r="K206" s="15">
        <v>4.8</v>
      </c>
      <c r="L206" s="15">
        <v>5</v>
      </c>
    </row>
    <row r="207" spans="1:12">
      <c r="A207" s="18"/>
      <c r="B207" s="18" t="s">
        <v>80</v>
      </c>
      <c r="C207" s="18" t="s">
        <v>136</v>
      </c>
      <c r="D207" s="18" t="s">
        <v>14</v>
      </c>
      <c r="E207" s="18" t="s">
        <v>17</v>
      </c>
      <c r="F207" s="18" t="s">
        <v>82</v>
      </c>
      <c r="G207" s="18"/>
      <c r="H207" s="18"/>
      <c r="I207" s="18"/>
      <c r="J207" s="18"/>
      <c r="K207" s="18"/>
      <c r="L207" s="14"/>
    </row>
    <row r="208" spans="1:12">
      <c r="A208" s="18"/>
      <c r="B208" s="18"/>
      <c r="C208" s="18"/>
      <c r="D208" s="18"/>
      <c r="E208" s="18"/>
      <c r="F208" s="14">
        <v>5</v>
      </c>
      <c r="G208" s="8">
        <v>100000</v>
      </c>
      <c r="H208" s="14">
        <v>1</v>
      </c>
      <c r="I208" s="14">
        <v>4.8499999999999996</v>
      </c>
      <c r="J208" s="14">
        <v>0</v>
      </c>
      <c r="K208" s="14">
        <v>4.8499999999999996</v>
      </c>
      <c r="L208" s="14">
        <v>5</v>
      </c>
    </row>
    <row r="209" spans="1:12">
      <c r="A209" s="19"/>
      <c r="B209" s="19" t="s">
        <v>80</v>
      </c>
      <c r="C209" s="19" t="s">
        <v>137</v>
      </c>
      <c r="D209" s="19" t="s">
        <v>14</v>
      </c>
      <c r="E209" s="19" t="s">
        <v>17</v>
      </c>
      <c r="F209" s="19" t="s">
        <v>84</v>
      </c>
      <c r="G209" s="19"/>
      <c r="H209" s="19"/>
      <c r="I209" s="19"/>
      <c r="J209" s="19"/>
      <c r="K209" s="19"/>
      <c r="L209" s="15"/>
    </row>
    <row r="210" spans="1:12">
      <c r="A210" s="19"/>
      <c r="B210" s="19"/>
      <c r="C210" s="19"/>
      <c r="D210" s="19"/>
      <c r="E210" s="19"/>
      <c r="F210" s="15">
        <v>5</v>
      </c>
      <c r="G210" s="7">
        <v>100000</v>
      </c>
      <c r="H210" s="15">
        <v>1</v>
      </c>
      <c r="I210" s="15">
        <v>4.5999999999999996</v>
      </c>
      <c r="J210" s="15">
        <v>0</v>
      </c>
      <c r="K210" s="15">
        <v>4.5999999999999996</v>
      </c>
      <c r="L210" s="15">
        <v>5</v>
      </c>
    </row>
    <row r="211" spans="1:12">
      <c r="A211" s="18"/>
      <c r="B211" s="18" t="s">
        <v>80</v>
      </c>
      <c r="C211" s="18" t="s">
        <v>138</v>
      </c>
      <c r="D211" s="18" t="s">
        <v>14</v>
      </c>
      <c r="E211" s="18" t="s">
        <v>17</v>
      </c>
      <c r="F211" s="18" t="s">
        <v>86</v>
      </c>
      <c r="G211" s="18"/>
      <c r="H211" s="18"/>
      <c r="I211" s="18"/>
      <c r="J211" s="18"/>
      <c r="K211" s="18"/>
      <c r="L211" s="14"/>
    </row>
    <row r="212" spans="1:12">
      <c r="A212" s="18"/>
      <c r="B212" s="18"/>
      <c r="C212" s="18"/>
      <c r="D212" s="18"/>
      <c r="E212" s="18"/>
      <c r="F212" s="14">
        <v>5</v>
      </c>
      <c r="G212" s="8">
        <v>100000</v>
      </c>
      <c r="H212" s="14">
        <v>1</v>
      </c>
      <c r="I212" s="14">
        <v>4.8</v>
      </c>
      <c r="J212" s="14">
        <v>0</v>
      </c>
      <c r="K212" s="14">
        <v>4.8</v>
      </c>
      <c r="L212" s="14">
        <v>5</v>
      </c>
    </row>
    <row r="213" spans="1:12">
      <c r="A213" s="19"/>
      <c r="B213" s="19" t="s">
        <v>80</v>
      </c>
      <c r="C213" s="19" t="s">
        <v>139</v>
      </c>
      <c r="D213" s="19" t="s">
        <v>14</v>
      </c>
      <c r="E213" s="19" t="s">
        <v>17</v>
      </c>
      <c r="F213" s="19" t="s">
        <v>88</v>
      </c>
      <c r="G213" s="19"/>
      <c r="H213" s="19"/>
      <c r="I213" s="19"/>
      <c r="J213" s="19"/>
      <c r="K213" s="19"/>
      <c r="L213" s="15"/>
    </row>
    <row r="214" spans="1:12">
      <c r="A214" s="19"/>
      <c r="B214" s="19"/>
      <c r="C214" s="19"/>
      <c r="D214" s="19"/>
      <c r="E214" s="19"/>
      <c r="F214" s="15">
        <v>5</v>
      </c>
      <c r="G214" s="7">
        <v>100000</v>
      </c>
      <c r="H214" s="15">
        <v>1</v>
      </c>
      <c r="I214" s="15">
        <v>4.5</v>
      </c>
      <c r="J214" s="15">
        <v>0</v>
      </c>
      <c r="K214" s="15">
        <v>4.5</v>
      </c>
      <c r="L214" s="15">
        <v>5</v>
      </c>
    </row>
    <row r="215" spans="1:12">
      <c r="A215" s="18"/>
      <c r="B215" s="18" t="s">
        <v>89</v>
      </c>
      <c r="C215" s="18" t="s">
        <v>90</v>
      </c>
      <c r="D215" s="18" t="s">
        <v>14</v>
      </c>
      <c r="E215" s="18" t="s">
        <v>17</v>
      </c>
      <c r="F215" s="18"/>
      <c r="G215" s="18"/>
      <c r="H215" s="18"/>
      <c r="I215" s="18"/>
      <c r="J215" s="18"/>
      <c r="K215" s="18"/>
      <c r="L215" s="14"/>
    </row>
    <row r="216" spans="1:12">
      <c r="A216" s="18"/>
      <c r="B216" s="18"/>
      <c r="C216" s="18"/>
      <c r="D216" s="18"/>
      <c r="E216" s="18"/>
      <c r="F216" s="14">
        <v>5</v>
      </c>
      <c r="G216" s="8">
        <v>10000</v>
      </c>
      <c r="H216" s="14">
        <v>2.4</v>
      </c>
      <c r="I216" s="14">
        <v>4.9000000000000004</v>
      </c>
      <c r="J216" s="14">
        <v>0</v>
      </c>
      <c r="K216" s="14">
        <v>4.9000000000000004</v>
      </c>
      <c r="L216" s="14">
        <v>5</v>
      </c>
    </row>
    <row r="217" spans="1:12">
      <c r="A217" s="19"/>
      <c r="B217" s="19" t="s">
        <v>89</v>
      </c>
      <c r="C217" s="19" t="s">
        <v>91</v>
      </c>
      <c r="D217" s="19" t="s">
        <v>14</v>
      </c>
      <c r="E217" s="19" t="s">
        <v>17</v>
      </c>
      <c r="F217" s="19" t="s">
        <v>140</v>
      </c>
      <c r="G217" s="19"/>
      <c r="H217" s="19"/>
      <c r="I217" s="19"/>
      <c r="J217" s="19"/>
      <c r="K217" s="19"/>
      <c r="L217" s="15"/>
    </row>
    <row r="218" spans="1:12">
      <c r="A218" s="19"/>
      <c r="B218" s="19"/>
      <c r="C218" s="19"/>
      <c r="D218" s="19"/>
      <c r="E218" s="19"/>
      <c r="F218" s="15">
        <v>5</v>
      </c>
      <c r="G218" s="7">
        <v>10000</v>
      </c>
      <c r="H218" s="15">
        <v>2.4</v>
      </c>
      <c r="I218" s="15">
        <v>1.1000000000000001</v>
      </c>
      <c r="J218" s="15">
        <v>3.67</v>
      </c>
      <c r="K218" s="15">
        <v>4.0250000000000004</v>
      </c>
      <c r="L218" s="15">
        <v>5</v>
      </c>
    </row>
    <row r="219" spans="1:12">
      <c r="A219" s="18"/>
      <c r="B219" s="18" t="s">
        <v>94</v>
      </c>
      <c r="C219" s="18" t="s">
        <v>141</v>
      </c>
      <c r="D219" s="18" t="s">
        <v>14</v>
      </c>
      <c r="E219" s="18" t="s">
        <v>17</v>
      </c>
      <c r="F219" s="18" t="s">
        <v>96</v>
      </c>
      <c r="G219" s="18"/>
      <c r="H219" s="18"/>
      <c r="I219" s="18"/>
      <c r="J219" s="18"/>
      <c r="K219" s="18"/>
      <c r="L219" s="14"/>
    </row>
    <row r="220" spans="1:12">
      <c r="A220" s="18"/>
      <c r="B220" s="18"/>
      <c r="C220" s="18"/>
      <c r="D220" s="18"/>
      <c r="E220" s="18"/>
      <c r="F220" s="14">
        <v>5</v>
      </c>
      <c r="G220" s="8">
        <v>100000</v>
      </c>
      <c r="H220" s="14">
        <v>0.1</v>
      </c>
      <c r="I220" s="14">
        <v>4.45</v>
      </c>
      <c r="J220" s="14">
        <v>0</v>
      </c>
      <c r="K220" s="14">
        <v>4.45</v>
      </c>
      <c r="L220" s="14">
        <v>5</v>
      </c>
    </row>
    <row r="221" spans="1:12">
      <c r="A221" s="19"/>
      <c r="B221" s="19" t="s">
        <v>94</v>
      </c>
      <c r="C221" s="19" t="s">
        <v>141</v>
      </c>
      <c r="D221" s="19" t="s">
        <v>14</v>
      </c>
      <c r="E221" s="19" t="s">
        <v>17</v>
      </c>
      <c r="F221" s="19" t="s">
        <v>97</v>
      </c>
      <c r="G221" s="19"/>
      <c r="H221" s="19"/>
      <c r="I221" s="19"/>
      <c r="J221" s="19"/>
      <c r="K221" s="19"/>
      <c r="L221" s="15"/>
    </row>
    <row r="222" spans="1:12">
      <c r="A222" s="19"/>
      <c r="B222" s="19"/>
      <c r="C222" s="19"/>
      <c r="D222" s="19"/>
      <c r="E222" s="19"/>
      <c r="F222" s="15">
        <v>5</v>
      </c>
      <c r="G222" s="7">
        <v>100000</v>
      </c>
      <c r="H222" s="15">
        <v>0.1</v>
      </c>
      <c r="I222" s="15">
        <v>4.4000000000000004</v>
      </c>
      <c r="J222" s="15">
        <v>0</v>
      </c>
      <c r="K222" s="15">
        <v>4.4000000000000004</v>
      </c>
      <c r="L222" s="15">
        <v>5</v>
      </c>
    </row>
    <row r="223" spans="1:12">
      <c r="A223" s="18"/>
      <c r="B223" s="18" t="s">
        <v>94</v>
      </c>
      <c r="C223" s="18" t="s">
        <v>141</v>
      </c>
      <c r="D223" s="18" t="s">
        <v>14</v>
      </c>
      <c r="E223" s="18" t="s">
        <v>17</v>
      </c>
      <c r="F223" s="18" t="s">
        <v>98</v>
      </c>
      <c r="G223" s="18"/>
      <c r="H223" s="18"/>
      <c r="I223" s="18"/>
      <c r="J223" s="18"/>
      <c r="K223" s="18"/>
      <c r="L223" s="14"/>
    </row>
    <row r="224" spans="1:12">
      <c r="A224" s="18"/>
      <c r="B224" s="18"/>
      <c r="C224" s="18"/>
      <c r="D224" s="18"/>
      <c r="E224" s="18"/>
      <c r="F224" s="14">
        <v>5</v>
      </c>
      <c r="G224" s="8">
        <v>100000</v>
      </c>
      <c r="H224" s="14">
        <v>0.1</v>
      </c>
      <c r="I224" s="14">
        <v>4.3499999999999996</v>
      </c>
      <c r="J224" s="14">
        <v>0</v>
      </c>
      <c r="K224" s="14">
        <v>4.3499999999999996</v>
      </c>
      <c r="L224" s="14">
        <v>5</v>
      </c>
    </row>
    <row r="225" spans="1:12">
      <c r="A225" s="19"/>
      <c r="B225" s="19" t="s">
        <v>94</v>
      </c>
      <c r="C225" s="19" t="s">
        <v>141</v>
      </c>
      <c r="D225" s="19" t="s">
        <v>14</v>
      </c>
      <c r="E225" s="19" t="s">
        <v>17</v>
      </c>
      <c r="F225" s="19" t="s">
        <v>99</v>
      </c>
      <c r="G225" s="19"/>
      <c r="H225" s="19"/>
      <c r="I225" s="19"/>
      <c r="J225" s="19"/>
      <c r="K225" s="19"/>
      <c r="L225" s="15"/>
    </row>
    <row r="226" spans="1:12">
      <c r="A226" s="19"/>
      <c r="B226" s="19"/>
      <c r="C226" s="19"/>
      <c r="D226" s="19"/>
      <c r="E226" s="19"/>
      <c r="F226" s="15">
        <v>5</v>
      </c>
      <c r="G226" s="7">
        <v>100000</v>
      </c>
      <c r="H226" s="15">
        <v>0.1</v>
      </c>
      <c r="I226" s="15">
        <v>4.25</v>
      </c>
      <c r="J226" s="15">
        <v>0</v>
      </c>
      <c r="K226" s="15">
        <v>4.25</v>
      </c>
      <c r="L226" s="15">
        <v>5</v>
      </c>
    </row>
    <row r="227" spans="1:12">
      <c r="A227" s="18"/>
      <c r="B227" s="18" t="s">
        <v>100</v>
      </c>
      <c r="C227" s="18" t="s">
        <v>142</v>
      </c>
      <c r="D227" s="18" t="s">
        <v>14</v>
      </c>
      <c r="E227" s="18" t="s">
        <v>17</v>
      </c>
      <c r="F227" s="18"/>
      <c r="G227" s="18"/>
      <c r="H227" s="18"/>
      <c r="I227" s="18"/>
      <c r="J227" s="18"/>
      <c r="K227" s="18"/>
      <c r="L227" s="14"/>
    </row>
    <row r="228" spans="1:12">
      <c r="A228" s="18"/>
      <c r="B228" s="18"/>
      <c r="C228" s="18"/>
      <c r="D228" s="18"/>
      <c r="E228" s="18"/>
      <c r="F228" s="14">
        <v>5</v>
      </c>
      <c r="G228" s="8">
        <v>100000</v>
      </c>
      <c r="H228" s="14">
        <v>0.25</v>
      </c>
      <c r="I228" s="14">
        <v>4.95</v>
      </c>
      <c r="J228" s="14">
        <v>0</v>
      </c>
      <c r="K228" s="14">
        <v>4.95</v>
      </c>
      <c r="L228" s="14">
        <v>5</v>
      </c>
    </row>
    <row r="229" spans="1:12">
      <c r="A229" s="19"/>
      <c r="B229" s="19" t="s">
        <v>100</v>
      </c>
      <c r="C229" s="19" t="s">
        <v>143</v>
      </c>
      <c r="D229" s="19" t="s">
        <v>14</v>
      </c>
      <c r="E229" s="19" t="s">
        <v>17</v>
      </c>
      <c r="F229" s="19" t="s">
        <v>103</v>
      </c>
      <c r="G229" s="19"/>
      <c r="H229" s="19"/>
      <c r="I229" s="19"/>
      <c r="J229" s="19"/>
      <c r="K229" s="19"/>
      <c r="L229" s="15"/>
    </row>
    <row r="230" spans="1:12">
      <c r="A230" s="19"/>
      <c r="B230" s="19"/>
      <c r="C230" s="19"/>
      <c r="D230" s="19"/>
      <c r="E230" s="19"/>
      <c r="F230" s="15">
        <v>5</v>
      </c>
      <c r="G230" s="7">
        <v>100000</v>
      </c>
      <c r="H230" s="15">
        <v>0.25</v>
      </c>
      <c r="I230" s="15">
        <v>4.55</v>
      </c>
      <c r="J230" s="15">
        <v>0</v>
      </c>
      <c r="K230" s="15">
        <v>4.55</v>
      </c>
      <c r="L230" s="15">
        <v>5</v>
      </c>
    </row>
    <row r="231" spans="1:12">
      <c r="A231" s="18"/>
      <c r="B231" s="18" t="s">
        <v>100</v>
      </c>
      <c r="C231" s="18" t="s">
        <v>143</v>
      </c>
      <c r="D231" s="18" t="s">
        <v>14</v>
      </c>
      <c r="E231" s="18" t="s">
        <v>17</v>
      </c>
      <c r="F231" s="18" t="s">
        <v>104</v>
      </c>
      <c r="G231" s="18"/>
      <c r="H231" s="18"/>
      <c r="I231" s="18"/>
      <c r="J231" s="18"/>
      <c r="K231" s="18"/>
      <c r="L231" s="14"/>
    </row>
    <row r="232" spans="1:12">
      <c r="A232" s="18"/>
      <c r="B232" s="18"/>
      <c r="C232" s="18"/>
      <c r="D232" s="18"/>
      <c r="E232" s="18"/>
      <c r="F232" s="14">
        <v>5</v>
      </c>
      <c r="G232" s="8">
        <v>100000</v>
      </c>
      <c r="H232" s="14">
        <v>0.25</v>
      </c>
      <c r="I232" s="14">
        <v>4.8499999999999996</v>
      </c>
      <c r="J232" s="14">
        <v>0</v>
      </c>
      <c r="K232" s="14">
        <v>4.8499999999999996</v>
      </c>
      <c r="L232" s="14">
        <v>5</v>
      </c>
    </row>
    <row r="233" spans="1:12">
      <c r="A233" s="19"/>
      <c r="B233" s="19" t="s">
        <v>105</v>
      </c>
      <c r="C233" s="19" t="s">
        <v>106</v>
      </c>
      <c r="D233" s="19" t="s">
        <v>14</v>
      </c>
      <c r="E233" s="19" t="s">
        <v>17</v>
      </c>
      <c r="F233" s="19" t="s">
        <v>144</v>
      </c>
      <c r="G233" s="19"/>
      <c r="H233" s="19"/>
      <c r="I233" s="19"/>
      <c r="J233" s="19"/>
      <c r="K233" s="19"/>
      <c r="L233" s="15"/>
    </row>
    <row r="234" spans="1:12">
      <c r="A234" s="19"/>
      <c r="B234" s="19"/>
      <c r="C234" s="19"/>
      <c r="D234" s="19"/>
      <c r="E234" s="19"/>
      <c r="F234" s="15">
        <v>5</v>
      </c>
      <c r="G234" s="7">
        <v>100000</v>
      </c>
      <c r="H234" s="15">
        <v>1</v>
      </c>
      <c r="I234" s="15">
        <v>5.2</v>
      </c>
      <c r="J234" s="15">
        <v>0</v>
      </c>
      <c r="K234" s="15">
        <v>5.2</v>
      </c>
      <c r="L234" s="15">
        <v>5</v>
      </c>
    </row>
    <row r="235" spans="1:12">
      <c r="A235" s="18"/>
      <c r="B235" s="18" t="s">
        <v>108</v>
      </c>
      <c r="C235" s="18" t="s">
        <v>109</v>
      </c>
      <c r="D235" s="18" t="s">
        <v>14</v>
      </c>
      <c r="E235" s="18" t="s">
        <v>17</v>
      </c>
      <c r="F235" s="18"/>
      <c r="G235" s="18"/>
      <c r="H235" s="18"/>
      <c r="I235" s="18"/>
      <c r="J235" s="18"/>
      <c r="K235" s="18"/>
      <c r="L235" s="14"/>
    </row>
    <row r="236" spans="1:12">
      <c r="A236" s="18"/>
      <c r="B236" s="18"/>
      <c r="C236" s="18"/>
      <c r="D236" s="18"/>
      <c r="E236" s="18"/>
      <c r="F236" s="14">
        <v>5</v>
      </c>
      <c r="G236" s="8">
        <v>100000</v>
      </c>
      <c r="H236" s="14">
        <v>1.1499999999999999</v>
      </c>
      <c r="I236" s="14">
        <v>3.85</v>
      </c>
      <c r="J236" s="14">
        <v>0</v>
      </c>
      <c r="K236" s="14">
        <v>3.85</v>
      </c>
      <c r="L236" s="14">
        <v>5</v>
      </c>
    </row>
    <row r="237" spans="1:12">
      <c r="A237" s="20" t="s">
        <v>145</v>
      </c>
      <c r="B237" s="20"/>
      <c r="C237" s="20"/>
      <c r="D237" s="20"/>
      <c r="E237" s="20"/>
      <c r="F237" s="20"/>
      <c r="G237" s="20"/>
      <c r="H237" s="20"/>
      <c r="I237" s="20"/>
      <c r="J237" s="20"/>
      <c r="K237" s="20"/>
      <c r="L237" s="20"/>
    </row>
    <row r="238" spans="1:12">
      <c r="A238" s="19"/>
      <c r="B238" s="19" t="s">
        <v>30</v>
      </c>
      <c r="C238" s="19" t="s">
        <v>146</v>
      </c>
      <c r="D238" s="19" t="s">
        <v>14</v>
      </c>
      <c r="E238" s="19" t="s">
        <v>17</v>
      </c>
      <c r="F238" s="19"/>
      <c r="G238" s="19"/>
      <c r="H238" s="19"/>
      <c r="I238" s="19"/>
      <c r="J238" s="19"/>
      <c r="K238" s="19"/>
      <c r="L238" s="15"/>
    </row>
    <row r="239" spans="1:12">
      <c r="A239" s="19"/>
      <c r="B239" s="19"/>
      <c r="C239" s="19"/>
      <c r="D239" s="19"/>
      <c r="E239" s="19"/>
      <c r="F239" s="15">
        <v>4</v>
      </c>
      <c r="G239" s="7">
        <v>100000</v>
      </c>
      <c r="H239" s="15">
        <v>0.25</v>
      </c>
      <c r="I239" s="15">
        <v>4.5</v>
      </c>
      <c r="J239" s="15">
        <v>0</v>
      </c>
      <c r="K239" s="15">
        <v>4.5</v>
      </c>
      <c r="L239" s="15">
        <v>4</v>
      </c>
    </row>
    <row r="240" spans="1:12">
      <c r="A240" s="18"/>
      <c r="B240" s="18" t="s">
        <v>111</v>
      </c>
      <c r="C240" s="18" t="s">
        <v>112</v>
      </c>
      <c r="D240" s="18" t="s">
        <v>14</v>
      </c>
      <c r="E240" s="18" t="s">
        <v>17</v>
      </c>
      <c r="F240" s="18"/>
      <c r="G240" s="18"/>
      <c r="H240" s="18"/>
      <c r="I240" s="18"/>
      <c r="J240" s="18"/>
      <c r="K240" s="18"/>
      <c r="L240" s="14"/>
    </row>
    <row r="241" spans="1:12">
      <c r="A241" s="18"/>
      <c r="B241" s="18"/>
      <c r="C241" s="18"/>
      <c r="D241" s="18"/>
      <c r="E241" s="18"/>
      <c r="F241" s="14">
        <v>4</v>
      </c>
      <c r="G241" s="8">
        <v>100000</v>
      </c>
      <c r="H241" s="14">
        <v>2.7</v>
      </c>
      <c r="I241" s="14">
        <v>4.1500000000000004</v>
      </c>
      <c r="J241" s="14">
        <v>0</v>
      </c>
      <c r="K241" s="14">
        <v>4.1500000000000004</v>
      </c>
      <c r="L241" s="14">
        <v>4</v>
      </c>
    </row>
    <row r="242" spans="1:12">
      <c r="A242" s="19"/>
      <c r="B242" s="19" t="s">
        <v>12</v>
      </c>
      <c r="C242" s="19" t="s">
        <v>16</v>
      </c>
      <c r="D242" s="19" t="s">
        <v>14</v>
      </c>
      <c r="E242" s="19" t="s">
        <v>17</v>
      </c>
      <c r="F242" s="19" t="s">
        <v>147</v>
      </c>
      <c r="G242" s="19"/>
      <c r="H242" s="19"/>
      <c r="I242" s="19"/>
      <c r="J242" s="19"/>
      <c r="K242" s="19"/>
      <c r="L242" s="15"/>
    </row>
    <row r="243" spans="1:12">
      <c r="A243" s="19"/>
      <c r="B243" s="19"/>
      <c r="C243" s="19"/>
      <c r="D243" s="19"/>
      <c r="E243" s="19"/>
      <c r="F243" s="15">
        <v>4</v>
      </c>
      <c r="G243" s="7">
        <v>20000</v>
      </c>
      <c r="H243" s="15">
        <v>2.5</v>
      </c>
      <c r="I243" s="15">
        <v>3.55</v>
      </c>
      <c r="J243" s="15">
        <v>1</v>
      </c>
      <c r="K243" s="15">
        <v>3.7989999999999999</v>
      </c>
      <c r="L243" s="15">
        <v>4</v>
      </c>
    </row>
    <row r="244" spans="1:12">
      <c r="A244" s="18"/>
      <c r="B244" s="18" t="s">
        <v>60</v>
      </c>
      <c r="C244" s="18" t="s">
        <v>61</v>
      </c>
      <c r="D244" s="18" t="s">
        <v>14</v>
      </c>
      <c r="E244" s="18" t="s">
        <v>62</v>
      </c>
      <c r="F244" s="18"/>
      <c r="G244" s="18"/>
      <c r="H244" s="18"/>
      <c r="I244" s="18"/>
      <c r="J244" s="18"/>
      <c r="K244" s="18"/>
      <c r="L244" s="14"/>
    </row>
    <row r="245" spans="1:12">
      <c r="A245" s="18"/>
      <c r="B245" s="18"/>
      <c r="C245" s="18"/>
      <c r="D245" s="18"/>
      <c r="E245" s="18"/>
      <c r="F245" s="14">
        <v>4</v>
      </c>
      <c r="G245" s="8">
        <v>100000</v>
      </c>
      <c r="H245" s="14">
        <v>2.4500000000000002</v>
      </c>
      <c r="I245" s="14">
        <v>4.1500000000000004</v>
      </c>
      <c r="J245" s="14">
        <v>0</v>
      </c>
      <c r="K245" s="14">
        <v>4.1500000000000004</v>
      </c>
      <c r="L245" s="14">
        <v>4</v>
      </c>
    </row>
    <row r="246" spans="1:12">
      <c r="A246" s="19"/>
      <c r="B246" s="19" t="s">
        <v>60</v>
      </c>
      <c r="C246" s="19" t="s">
        <v>148</v>
      </c>
      <c r="D246" s="19" t="s">
        <v>14</v>
      </c>
      <c r="E246" s="19" t="s">
        <v>17</v>
      </c>
      <c r="F246" s="19" t="s">
        <v>149</v>
      </c>
      <c r="G246" s="19"/>
      <c r="H246" s="19"/>
      <c r="I246" s="19"/>
      <c r="J246" s="19"/>
      <c r="K246" s="19"/>
      <c r="L246" s="15"/>
    </row>
    <row r="247" spans="1:12">
      <c r="A247" s="19"/>
      <c r="B247" s="19"/>
      <c r="C247" s="19"/>
      <c r="D247" s="19"/>
      <c r="E247" s="19"/>
      <c r="F247" s="15">
        <v>4</v>
      </c>
      <c r="G247" s="7">
        <v>100000</v>
      </c>
      <c r="H247" s="15">
        <v>2.5</v>
      </c>
      <c r="I247" s="15">
        <v>4.0999999999999996</v>
      </c>
      <c r="J247" s="15">
        <v>0</v>
      </c>
      <c r="K247" s="15">
        <v>4.0999999999999996</v>
      </c>
      <c r="L247" s="15">
        <v>4</v>
      </c>
    </row>
    <row r="248" spans="1:12">
      <c r="A248" s="18"/>
      <c r="B248" s="18" t="s">
        <v>21</v>
      </c>
      <c r="C248" s="18" t="s">
        <v>22</v>
      </c>
      <c r="D248" s="18" t="s">
        <v>14</v>
      </c>
      <c r="E248" s="18" t="s">
        <v>15</v>
      </c>
      <c r="F248" s="18"/>
      <c r="G248" s="18"/>
      <c r="H248" s="18"/>
      <c r="I248" s="18"/>
      <c r="J248" s="18"/>
      <c r="K248" s="18"/>
      <c r="L248" s="14"/>
    </row>
    <row r="249" spans="1:12">
      <c r="A249" s="18"/>
      <c r="B249" s="18"/>
      <c r="C249" s="18"/>
      <c r="D249" s="18"/>
      <c r="E249" s="18"/>
      <c r="F249" s="14">
        <v>4</v>
      </c>
      <c r="G249" s="8">
        <v>2000</v>
      </c>
      <c r="H249" s="14">
        <v>0</v>
      </c>
      <c r="I249" s="14">
        <v>3.35</v>
      </c>
      <c r="J249" s="14">
        <v>0</v>
      </c>
      <c r="K249" s="14">
        <v>3.35</v>
      </c>
      <c r="L249" s="14">
        <v>4</v>
      </c>
    </row>
    <row r="250" spans="1:12">
      <c r="A250" s="19"/>
      <c r="B250" s="19" t="s">
        <v>21</v>
      </c>
      <c r="C250" s="19" t="s">
        <v>66</v>
      </c>
      <c r="D250" s="19" t="s">
        <v>14</v>
      </c>
      <c r="E250" s="19" t="s">
        <v>17</v>
      </c>
      <c r="F250" s="19" t="s">
        <v>150</v>
      </c>
      <c r="G250" s="19"/>
      <c r="H250" s="19"/>
      <c r="I250" s="19"/>
      <c r="J250" s="19"/>
      <c r="K250" s="19"/>
      <c r="L250" s="15"/>
    </row>
    <row r="251" spans="1:12">
      <c r="A251" s="19"/>
      <c r="B251" s="19"/>
      <c r="C251" s="19"/>
      <c r="D251" s="19"/>
      <c r="E251" s="19"/>
      <c r="F251" s="15">
        <v>4</v>
      </c>
      <c r="G251" s="7">
        <v>100000</v>
      </c>
      <c r="H251" s="15">
        <v>0.5</v>
      </c>
      <c r="I251" s="15">
        <v>4.1500000000000004</v>
      </c>
      <c r="J251" s="15">
        <v>0</v>
      </c>
      <c r="K251" s="15">
        <v>4.1500000000000004</v>
      </c>
      <c r="L251" s="15">
        <v>4</v>
      </c>
    </row>
    <row r="252" spans="1:12">
      <c r="A252" s="18"/>
      <c r="B252" s="18" t="s">
        <v>21</v>
      </c>
      <c r="C252" s="18" t="s">
        <v>66</v>
      </c>
      <c r="D252" s="18" t="s">
        <v>14</v>
      </c>
      <c r="E252" s="18" t="s">
        <v>17</v>
      </c>
      <c r="F252" s="18" t="s">
        <v>151</v>
      </c>
      <c r="G252" s="18"/>
      <c r="H252" s="18"/>
      <c r="I252" s="18"/>
      <c r="J252" s="18"/>
      <c r="K252" s="18"/>
      <c r="L252" s="14"/>
    </row>
    <row r="253" spans="1:12">
      <c r="A253" s="18"/>
      <c r="B253" s="18"/>
      <c r="C253" s="18"/>
      <c r="D253" s="18"/>
      <c r="E253" s="18"/>
      <c r="F253" s="14">
        <v>4</v>
      </c>
      <c r="G253" s="8">
        <v>100000</v>
      </c>
      <c r="H253" s="14">
        <v>0.5</v>
      </c>
      <c r="I253" s="14">
        <v>4.0999999999999996</v>
      </c>
      <c r="J253" s="14">
        <v>0</v>
      </c>
      <c r="K253" s="14">
        <v>4.0999999999999996</v>
      </c>
      <c r="L253" s="14">
        <v>4</v>
      </c>
    </row>
    <row r="254" spans="1:12">
      <c r="A254" s="19"/>
      <c r="B254" s="19" t="s">
        <v>21</v>
      </c>
      <c r="C254" s="19" t="s">
        <v>66</v>
      </c>
      <c r="D254" s="19" t="s">
        <v>14</v>
      </c>
      <c r="E254" s="19" t="s">
        <v>17</v>
      </c>
      <c r="F254" s="19" t="s">
        <v>152</v>
      </c>
      <c r="G254" s="19"/>
      <c r="H254" s="19"/>
      <c r="I254" s="19"/>
      <c r="J254" s="19"/>
      <c r="K254" s="19"/>
      <c r="L254" s="15"/>
    </row>
    <row r="255" spans="1:12">
      <c r="A255" s="19"/>
      <c r="B255" s="19"/>
      <c r="C255" s="19"/>
      <c r="D255" s="19"/>
      <c r="E255" s="19"/>
      <c r="F255" s="15">
        <v>4</v>
      </c>
      <c r="G255" s="7">
        <v>100000</v>
      </c>
      <c r="H255" s="15">
        <v>0.5</v>
      </c>
      <c r="I255" s="15">
        <v>3.95</v>
      </c>
      <c r="J255" s="15">
        <v>0</v>
      </c>
      <c r="K255" s="15">
        <v>3.95</v>
      </c>
      <c r="L255" s="15">
        <v>4</v>
      </c>
    </row>
    <row r="256" spans="1:12">
      <c r="A256" s="18"/>
      <c r="B256" s="18" t="s">
        <v>69</v>
      </c>
      <c r="C256" s="18" t="s">
        <v>70</v>
      </c>
      <c r="D256" s="18" t="s">
        <v>14</v>
      </c>
      <c r="E256" s="18" t="s">
        <v>17</v>
      </c>
      <c r="F256" s="18"/>
      <c r="G256" s="18"/>
      <c r="H256" s="18"/>
      <c r="I256" s="18"/>
      <c r="J256" s="18"/>
      <c r="K256" s="18"/>
      <c r="L256" s="14"/>
    </row>
    <row r="257" spans="1:12">
      <c r="A257" s="18"/>
      <c r="B257" s="18"/>
      <c r="C257" s="18"/>
      <c r="D257" s="18"/>
      <c r="E257" s="18"/>
      <c r="F257" s="14">
        <v>4</v>
      </c>
      <c r="G257" s="8">
        <v>100000</v>
      </c>
      <c r="H257" s="14">
        <v>0.05</v>
      </c>
      <c r="I257" s="14">
        <v>4.3</v>
      </c>
      <c r="J257" s="14">
        <v>0</v>
      </c>
      <c r="K257" s="14">
        <v>4.3</v>
      </c>
      <c r="L257" s="14">
        <v>4</v>
      </c>
    </row>
    <row r="258" spans="1:12">
      <c r="A258" s="19"/>
      <c r="B258" s="19" t="s">
        <v>69</v>
      </c>
      <c r="C258" s="19" t="s">
        <v>71</v>
      </c>
      <c r="D258" s="19" t="s">
        <v>14</v>
      </c>
      <c r="E258" s="19" t="s">
        <v>17</v>
      </c>
      <c r="F258" s="19"/>
      <c r="G258" s="19"/>
      <c r="H258" s="19"/>
      <c r="I258" s="19"/>
      <c r="J258" s="19"/>
      <c r="K258" s="19"/>
      <c r="L258" s="15"/>
    </row>
    <row r="259" spans="1:12">
      <c r="A259" s="19"/>
      <c r="B259" s="19"/>
      <c r="C259" s="19"/>
      <c r="D259" s="19"/>
      <c r="E259" s="19"/>
      <c r="F259" s="15">
        <v>4</v>
      </c>
      <c r="G259" s="7">
        <v>100000</v>
      </c>
      <c r="H259" s="15">
        <v>0.05</v>
      </c>
      <c r="I259" s="15">
        <v>4.3499999999999996</v>
      </c>
      <c r="J259" s="15">
        <v>0</v>
      </c>
      <c r="K259" s="15">
        <v>4.3499999999999996</v>
      </c>
      <c r="L259" s="15">
        <v>4</v>
      </c>
    </row>
    <row r="260" spans="1:12">
      <c r="A260" s="18"/>
      <c r="B260" s="18" t="s">
        <v>108</v>
      </c>
      <c r="C260" s="18" t="s">
        <v>109</v>
      </c>
      <c r="D260" s="18" t="s">
        <v>14</v>
      </c>
      <c r="E260" s="18" t="s">
        <v>17</v>
      </c>
      <c r="F260" s="18"/>
      <c r="G260" s="18"/>
      <c r="H260" s="18"/>
      <c r="I260" s="18"/>
      <c r="J260" s="18"/>
      <c r="K260" s="18"/>
      <c r="L260" s="14"/>
    </row>
    <row r="261" spans="1:12">
      <c r="A261" s="18"/>
      <c r="B261" s="18"/>
      <c r="C261" s="18"/>
      <c r="D261" s="18"/>
      <c r="E261" s="18"/>
      <c r="F261" s="14">
        <v>4</v>
      </c>
      <c r="G261" s="8">
        <v>100000</v>
      </c>
      <c r="H261" s="14">
        <v>1.1499999999999999</v>
      </c>
      <c r="I261" s="14">
        <v>3.75</v>
      </c>
      <c r="J261" s="14">
        <v>0</v>
      </c>
      <c r="K261" s="14">
        <v>3.75</v>
      </c>
      <c r="L261" s="14">
        <v>4</v>
      </c>
    </row>
    <row r="262" spans="1:12">
      <c r="A262" s="20" t="s">
        <v>153</v>
      </c>
      <c r="B262" s="20"/>
      <c r="C262" s="20"/>
      <c r="D262" s="20"/>
      <c r="E262" s="20"/>
      <c r="F262" s="20"/>
      <c r="G262" s="20"/>
      <c r="H262" s="20"/>
      <c r="I262" s="20"/>
      <c r="J262" s="20"/>
      <c r="K262" s="20"/>
      <c r="L262" s="20"/>
    </row>
    <row r="263" spans="1:12">
      <c r="A263" s="19"/>
      <c r="B263" s="19" t="s">
        <v>30</v>
      </c>
      <c r="C263" s="19" t="s">
        <v>154</v>
      </c>
      <c r="D263" s="19" t="s">
        <v>14</v>
      </c>
      <c r="E263" s="19" t="s">
        <v>17</v>
      </c>
      <c r="F263" s="19"/>
      <c r="G263" s="19"/>
      <c r="H263" s="19"/>
      <c r="I263" s="19"/>
      <c r="J263" s="19"/>
      <c r="K263" s="19"/>
      <c r="L263" s="15"/>
    </row>
    <row r="264" spans="1:12">
      <c r="A264" s="19"/>
      <c r="B264" s="19"/>
      <c r="C264" s="19"/>
      <c r="D264" s="19"/>
      <c r="E264" s="19"/>
      <c r="F264" s="15">
        <v>3</v>
      </c>
      <c r="G264" s="7">
        <v>100000</v>
      </c>
      <c r="H264" s="15">
        <v>0.25</v>
      </c>
      <c r="I264" s="15">
        <v>4.5</v>
      </c>
      <c r="J264" s="15">
        <v>0</v>
      </c>
      <c r="K264" s="15">
        <v>4.5</v>
      </c>
      <c r="L264" s="15">
        <v>3</v>
      </c>
    </row>
    <row r="265" spans="1:12">
      <c r="A265" s="18"/>
      <c r="B265" s="18" t="s">
        <v>30</v>
      </c>
      <c r="C265" s="18" t="s">
        <v>114</v>
      </c>
      <c r="D265" s="18" t="s">
        <v>92</v>
      </c>
      <c r="E265" s="18" t="s">
        <v>17</v>
      </c>
      <c r="F265" s="18" t="s">
        <v>34</v>
      </c>
      <c r="G265" s="18"/>
      <c r="H265" s="18"/>
      <c r="I265" s="18"/>
      <c r="J265" s="18"/>
      <c r="K265" s="18"/>
      <c r="L265" s="14"/>
    </row>
    <row r="266" spans="1:12">
      <c r="A266" s="18"/>
      <c r="B266" s="18"/>
      <c r="C266" s="18"/>
      <c r="D266" s="18"/>
      <c r="E266" s="18"/>
      <c r="F266" s="14">
        <v>3</v>
      </c>
      <c r="G266" s="8">
        <v>100000</v>
      </c>
      <c r="H266" s="14">
        <v>1</v>
      </c>
      <c r="I266" s="14">
        <v>4.3499999999999996</v>
      </c>
      <c r="J266" s="14">
        <v>0.3</v>
      </c>
      <c r="K266" s="14">
        <v>3.1739999999999999</v>
      </c>
      <c r="L266" s="14">
        <v>5</v>
      </c>
    </row>
    <row r="267" spans="1:12">
      <c r="A267" s="19"/>
      <c r="B267" s="19" t="s">
        <v>30</v>
      </c>
      <c r="C267" s="19" t="s">
        <v>114</v>
      </c>
      <c r="D267" s="19" t="s">
        <v>92</v>
      </c>
      <c r="E267" s="19" t="s">
        <v>17</v>
      </c>
      <c r="F267" s="19" t="s">
        <v>35</v>
      </c>
      <c r="G267" s="19"/>
      <c r="H267" s="19"/>
      <c r="I267" s="19"/>
      <c r="J267" s="19"/>
      <c r="K267" s="19"/>
      <c r="L267" s="15"/>
    </row>
    <row r="268" spans="1:12">
      <c r="A268" s="19"/>
      <c r="B268" s="19"/>
      <c r="C268" s="19"/>
      <c r="D268" s="19"/>
      <c r="E268" s="19"/>
      <c r="F268" s="15">
        <v>3</v>
      </c>
      <c r="G268" s="7">
        <v>100000</v>
      </c>
      <c r="H268" s="15">
        <v>1</v>
      </c>
      <c r="I268" s="15">
        <v>4.5999999999999996</v>
      </c>
      <c r="J268" s="15">
        <v>0.4</v>
      </c>
      <c r="K268" s="15">
        <v>3.3809999999999998</v>
      </c>
      <c r="L268" s="15">
        <v>5</v>
      </c>
    </row>
    <row r="269" spans="1:12">
      <c r="A269" s="18"/>
      <c r="B269" s="18" t="s">
        <v>30</v>
      </c>
      <c r="C269" s="18" t="s">
        <v>31</v>
      </c>
      <c r="D269" s="18" t="s">
        <v>92</v>
      </c>
      <c r="E269" s="18" t="s">
        <v>17</v>
      </c>
      <c r="F269" s="18" t="s">
        <v>34</v>
      </c>
      <c r="G269" s="18"/>
      <c r="H269" s="18"/>
      <c r="I269" s="18"/>
      <c r="J269" s="18"/>
      <c r="K269" s="18"/>
      <c r="L269" s="14"/>
    </row>
    <row r="270" spans="1:12">
      <c r="A270" s="18"/>
      <c r="B270" s="18"/>
      <c r="C270" s="18"/>
      <c r="D270" s="18"/>
      <c r="E270" s="18"/>
      <c r="F270" s="14">
        <v>3</v>
      </c>
      <c r="G270" s="8">
        <v>100000</v>
      </c>
      <c r="H270" s="14">
        <v>1</v>
      </c>
      <c r="I270" s="14">
        <v>4.3499999999999996</v>
      </c>
      <c r="J270" s="14">
        <v>0.6</v>
      </c>
      <c r="K270" s="14">
        <v>2.6739999999999999</v>
      </c>
      <c r="L270" s="14">
        <v>7</v>
      </c>
    </row>
    <row r="271" spans="1:12">
      <c r="A271" s="19"/>
      <c r="B271" s="19" t="s">
        <v>30</v>
      </c>
      <c r="C271" s="19" t="s">
        <v>31</v>
      </c>
      <c r="D271" s="19" t="s">
        <v>92</v>
      </c>
      <c r="E271" s="19" t="s">
        <v>17</v>
      </c>
      <c r="F271" s="19" t="s">
        <v>35</v>
      </c>
      <c r="G271" s="19"/>
      <c r="H271" s="19"/>
      <c r="I271" s="19"/>
      <c r="J271" s="19"/>
      <c r="K271" s="19"/>
      <c r="L271" s="15"/>
    </row>
    <row r="272" spans="1:12">
      <c r="A272" s="19"/>
      <c r="B272" s="19"/>
      <c r="C272" s="19"/>
      <c r="D272" s="19"/>
      <c r="E272" s="19"/>
      <c r="F272" s="15">
        <v>3</v>
      </c>
      <c r="G272" s="7">
        <v>100000</v>
      </c>
      <c r="H272" s="15">
        <v>1</v>
      </c>
      <c r="I272" s="15">
        <v>4.5999999999999996</v>
      </c>
      <c r="J272" s="15">
        <v>0.6</v>
      </c>
      <c r="K272" s="15">
        <v>2.7789999999999999</v>
      </c>
      <c r="L272" s="15">
        <v>7</v>
      </c>
    </row>
    <row r="273" spans="1:12">
      <c r="A273" s="18"/>
      <c r="B273" s="18" t="s">
        <v>36</v>
      </c>
      <c r="C273" s="18" t="s">
        <v>37</v>
      </c>
      <c r="D273" s="18" t="s">
        <v>14</v>
      </c>
      <c r="E273" s="18" t="s">
        <v>17</v>
      </c>
      <c r="F273" s="18"/>
      <c r="G273" s="18"/>
      <c r="H273" s="18"/>
      <c r="I273" s="18"/>
      <c r="J273" s="18"/>
      <c r="K273" s="18"/>
      <c r="L273" s="14"/>
    </row>
    <row r="274" spans="1:12">
      <c r="A274" s="18"/>
      <c r="B274" s="18"/>
      <c r="C274" s="18"/>
      <c r="D274" s="18"/>
      <c r="E274" s="18"/>
      <c r="F274" s="14">
        <v>3</v>
      </c>
      <c r="G274" s="8">
        <v>100000</v>
      </c>
      <c r="H274" s="14">
        <v>2.4500000000000002</v>
      </c>
      <c r="I274" s="14">
        <v>4.5</v>
      </c>
      <c r="J274" s="14">
        <v>0</v>
      </c>
      <c r="K274" s="14">
        <v>4.5</v>
      </c>
      <c r="L274" s="14">
        <v>3</v>
      </c>
    </row>
    <row r="275" spans="1:12">
      <c r="A275" s="19"/>
      <c r="B275" s="19" t="s">
        <v>38</v>
      </c>
      <c r="C275" s="19" t="s">
        <v>155</v>
      </c>
      <c r="D275" s="19" t="s">
        <v>14</v>
      </c>
      <c r="E275" s="19" t="s">
        <v>15</v>
      </c>
      <c r="F275" s="19" t="s">
        <v>156</v>
      </c>
      <c r="G275" s="19"/>
      <c r="H275" s="19"/>
      <c r="I275" s="19"/>
      <c r="J275" s="19"/>
      <c r="K275" s="19"/>
      <c r="L275" s="15"/>
    </row>
    <row r="276" spans="1:12">
      <c r="A276" s="19"/>
      <c r="B276" s="19"/>
      <c r="C276" s="19"/>
      <c r="D276" s="19"/>
      <c r="E276" s="19"/>
      <c r="F276" s="15">
        <v>3</v>
      </c>
      <c r="G276" s="7">
        <v>100000</v>
      </c>
      <c r="H276" s="15">
        <v>0.25</v>
      </c>
      <c r="I276" s="15">
        <v>4.5</v>
      </c>
      <c r="J276" s="15">
        <v>0</v>
      </c>
      <c r="K276" s="15">
        <v>4.5</v>
      </c>
      <c r="L276" s="15">
        <v>3</v>
      </c>
    </row>
    <row r="277" spans="1:12">
      <c r="A277" s="18"/>
      <c r="B277" s="18" t="s">
        <v>38</v>
      </c>
      <c r="C277" s="18" t="s">
        <v>157</v>
      </c>
      <c r="D277" s="18" t="s">
        <v>14</v>
      </c>
      <c r="E277" s="18" t="s">
        <v>15</v>
      </c>
      <c r="F277" s="18" t="s">
        <v>158</v>
      </c>
      <c r="G277" s="18"/>
      <c r="H277" s="18"/>
      <c r="I277" s="18"/>
      <c r="J277" s="18"/>
      <c r="K277" s="18"/>
      <c r="L277" s="14"/>
    </row>
    <row r="278" spans="1:12">
      <c r="A278" s="18"/>
      <c r="B278" s="18"/>
      <c r="C278" s="18"/>
      <c r="D278" s="18"/>
      <c r="E278" s="18"/>
      <c r="F278" s="14">
        <v>3</v>
      </c>
      <c r="G278" s="8">
        <v>100000</v>
      </c>
      <c r="H278" s="14">
        <v>0.25</v>
      </c>
      <c r="I278" s="14">
        <v>4.5999999999999996</v>
      </c>
      <c r="J278" s="14">
        <v>0</v>
      </c>
      <c r="K278" s="14">
        <v>4.5999999999999996</v>
      </c>
      <c r="L278" s="14">
        <v>3</v>
      </c>
    </row>
    <row r="279" spans="1:12">
      <c r="A279" s="19"/>
      <c r="B279" s="19" t="s">
        <v>38</v>
      </c>
      <c r="C279" s="19" t="s">
        <v>159</v>
      </c>
      <c r="D279" s="19" t="s">
        <v>14</v>
      </c>
      <c r="E279" s="19" t="s">
        <v>15</v>
      </c>
      <c r="F279" s="19" t="s">
        <v>156</v>
      </c>
      <c r="G279" s="19"/>
      <c r="H279" s="19"/>
      <c r="I279" s="19"/>
      <c r="J279" s="19"/>
      <c r="K279" s="19"/>
      <c r="L279" s="15"/>
    </row>
    <row r="280" spans="1:12">
      <c r="A280" s="19"/>
      <c r="B280" s="19"/>
      <c r="C280" s="19"/>
      <c r="D280" s="19"/>
      <c r="E280" s="19"/>
      <c r="F280" s="15">
        <v>3</v>
      </c>
      <c r="G280" s="7">
        <v>100000</v>
      </c>
      <c r="H280" s="15">
        <v>0.25</v>
      </c>
      <c r="I280" s="15">
        <v>4.4000000000000004</v>
      </c>
      <c r="J280" s="15">
        <v>0</v>
      </c>
      <c r="K280" s="15">
        <v>4.4000000000000004</v>
      </c>
      <c r="L280" s="15">
        <v>3</v>
      </c>
    </row>
    <row r="281" spans="1:12">
      <c r="A281" s="18"/>
      <c r="B281" s="18" t="s">
        <v>44</v>
      </c>
      <c r="C281" s="18" t="s">
        <v>45</v>
      </c>
      <c r="D281" s="18" t="s">
        <v>14</v>
      </c>
      <c r="E281" s="18" t="s">
        <v>17</v>
      </c>
      <c r="F281" s="18" t="s">
        <v>160</v>
      </c>
      <c r="G281" s="18"/>
      <c r="H281" s="18"/>
      <c r="I281" s="18"/>
      <c r="J281" s="18"/>
      <c r="K281" s="18"/>
      <c r="L281" s="14"/>
    </row>
    <row r="282" spans="1:12">
      <c r="A282" s="18"/>
      <c r="B282" s="18"/>
      <c r="C282" s="18"/>
      <c r="D282" s="18"/>
      <c r="E282" s="18"/>
      <c r="F282" s="14">
        <v>3</v>
      </c>
      <c r="G282" s="8">
        <v>100000</v>
      </c>
      <c r="H282" s="14">
        <v>0.05</v>
      </c>
      <c r="I282" s="14">
        <v>4.3499999999999996</v>
      </c>
      <c r="J282" s="14">
        <v>0</v>
      </c>
      <c r="K282" s="14">
        <v>4.3499999999999996</v>
      </c>
      <c r="L282" s="14">
        <v>3</v>
      </c>
    </row>
    <row r="283" spans="1:12">
      <c r="A283" s="19"/>
      <c r="B283" s="19" t="s">
        <v>44</v>
      </c>
      <c r="C283" s="19" t="s">
        <v>45</v>
      </c>
      <c r="D283" s="19" t="s">
        <v>14</v>
      </c>
      <c r="E283" s="19" t="s">
        <v>17</v>
      </c>
      <c r="F283" s="19" t="s">
        <v>161</v>
      </c>
      <c r="G283" s="19"/>
      <c r="H283" s="19"/>
      <c r="I283" s="19"/>
      <c r="J283" s="19"/>
      <c r="K283" s="19"/>
      <c r="L283" s="15"/>
    </row>
    <row r="284" spans="1:12">
      <c r="A284" s="19"/>
      <c r="B284" s="19"/>
      <c r="C284" s="19"/>
      <c r="D284" s="19"/>
      <c r="E284" s="19"/>
      <c r="F284" s="15">
        <v>3</v>
      </c>
      <c r="G284" s="7">
        <v>100000</v>
      </c>
      <c r="H284" s="15">
        <v>0.05</v>
      </c>
      <c r="I284" s="15">
        <v>4.5</v>
      </c>
      <c r="J284" s="15">
        <v>0</v>
      </c>
      <c r="K284" s="15">
        <v>4.5</v>
      </c>
      <c r="L284" s="15">
        <v>3</v>
      </c>
    </row>
    <row r="285" spans="1:12">
      <c r="A285" s="18"/>
      <c r="B285" s="18" t="s">
        <v>44</v>
      </c>
      <c r="C285" s="18" t="s">
        <v>45</v>
      </c>
      <c r="D285" s="18" t="s">
        <v>14</v>
      </c>
      <c r="E285" s="18" t="s">
        <v>17</v>
      </c>
      <c r="F285" s="18" t="s">
        <v>162</v>
      </c>
      <c r="G285" s="18"/>
      <c r="H285" s="18"/>
      <c r="I285" s="18"/>
      <c r="J285" s="18"/>
      <c r="K285" s="18"/>
      <c r="L285" s="14"/>
    </row>
    <row r="286" spans="1:12">
      <c r="A286" s="18"/>
      <c r="B286" s="18"/>
      <c r="C286" s="18"/>
      <c r="D286" s="18"/>
      <c r="E286" s="18"/>
      <c r="F286" s="14">
        <v>3</v>
      </c>
      <c r="G286" s="8">
        <v>100000</v>
      </c>
      <c r="H286" s="14">
        <v>0.05</v>
      </c>
      <c r="I286" s="14">
        <v>4.0999999999999996</v>
      </c>
      <c r="J286" s="14">
        <v>0</v>
      </c>
      <c r="K286" s="14">
        <v>4.0999999999999996</v>
      </c>
      <c r="L286" s="14">
        <v>3</v>
      </c>
    </row>
    <row r="287" spans="1:12">
      <c r="A287" s="19"/>
      <c r="B287" s="19" t="s">
        <v>49</v>
      </c>
      <c r="C287" s="19" t="s">
        <v>50</v>
      </c>
      <c r="D287" s="19" t="s">
        <v>14</v>
      </c>
      <c r="E287" s="19" t="s">
        <v>17</v>
      </c>
      <c r="F287" s="19"/>
      <c r="G287" s="19"/>
      <c r="H287" s="19"/>
      <c r="I287" s="19"/>
      <c r="J287" s="19"/>
      <c r="K287" s="19"/>
      <c r="L287" s="15"/>
    </row>
    <row r="288" spans="1:12">
      <c r="A288" s="19"/>
      <c r="B288" s="19"/>
      <c r="C288" s="19"/>
      <c r="D288" s="19"/>
      <c r="E288" s="19"/>
      <c r="F288" s="15">
        <v>3</v>
      </c>
      <c r="G288" s="7">
        <v>100000</v>
      </c>
      <c r="H288" s="15">
        <v>0.25</v>
      </c>
      <c r="I288" s="15">
        <v>4.5</v>
      </c>
      <c r="J288" s="15">
        <v>0</v>
      </c>
      <c r="K288" s="15">
        <v>4.5</v>
      </c>
      <c r="L288" s="15">
        <v>3</v>
      </c>
    </row>
    <row r="289" spans="1:12">
      <c r="A289" s="18"/>
      <c r="B289" s="18" t="s">
        <v>51</v>
      </c>
      <c r="C289" s="18" t="s">
        <v>163</v>
      </c>
      <c r="D289" s="18" t="s">
        <v>14</v>
      </c>
      <c r="E289" s="18" t="s">
        <v>17</v>
      </c>
      <c r="F289" s="18"/>
      <c r="G289" s="18"/>
      <c r="H289" s="18"/>
      <c r="I289" s="18"/>
      <c r="J289" s="18"/>
      <c r="K289" s="18"/>
      <c r="L289" s="14"/>
    </row>
    <row r="290" spans="1:12">
      <c r="A290" s="18"/>
      <c r="B290" s="18"/>
      <c r="C290" s="18"/>
      <c r="D290" s="18"/>
      <c r="E290" s="18"/>
      <c r="F290" s="14">
        <v>3</v>
      </c>
      <c r="G290" s="8">
        <v>100000</v>
      </c>
      <c r="H290" s="14">
        <v>1</v>
      </c>
      <c r="I290" s="14">
        <v>4.05</v>
      </c>
      <c r="J290" s="14">
        <v>0</v>
      </c>
      <c r="K290" s="14">
        <v>4.05</v>
      </c>
      <c r="L290" s="14">
        <v>3</v>
      </c>
    </row>
    <row r="291" spans="1:12">
      <c r="A291" s="19"/>
      <c r="B291" s="19" t="s">
        <v>53</v>
      </c>
      <c r="C291" s="19" t="s">
        <v>164</v>
      </c>
      <c r="D291" s="19" t="s">
        <v>14</v>
      </c>
      <c r="E291" s="19" t="s">
        <v>17</v>
      </c>
      <c r="F291" s="19" t="s">
        <v>165</v>
      </c>
      <c r="G291" s="19"/>
      <c r="H291" s="19"/>
      <c r="I291" s="19"/>
      <c r="J291" s="19"/>
      <c r="K291" s="19"/>
      <c r="L291" s="15"/>
    </row>
    <row r="292" spans="1:12">
      <c r="A292" s="19"/>
      <c r="B292" s="19"/>
      <c r="C292" s="19"/>
      <c r="D292" s="19"/>
      <c r="E292" s="19"/>
      <c r="F292" s="15">
        <v>3</v>
      </c>
      <c r="G292" s="7">
        <v>100000</v>
      </c>
      <c r="H292" s="15">
        <v>0.1</v>
      </c>
      <c r="I292" s="15">
        <v>4.0999999999999996</v>
      </c>
      <c r="J292" s="15">
        <v>0</v>
      </c>
      <c r="K292" s="15">
        <v>4.0999999999999996</v>
      </c>
      <c r="L292" s="15">
        <v>3</v>
      </c>
    </row>
    <row r="293" spans="1:12">
      <c r="A293" s="18"/>
      <c r="B293" s="18" t="s">
        <v>111</v>
      </c>
      <c r="C293" s="18" t="s">
        <v>112</v>
      </c>
      <c r="D293" s="18" t="s">
        <v>14</v>
      </c>
      <c r="E293" s="18" t="s">
        <v>17</v>
      </c>
      <c r="F293" s="18"/>
      <c r="G293" s="18"/>
      <c r="H293" s="18"/>
      <c r="I293" s="18"/>
      <c r="J293" s="18"/>
      <c r="K293" s="18"/>
      <c r="L293" s="14"/>
    </row>
    <row r="294" spans="1:12">
      <c r="A294" s="18"/>
      <c r="B294" s="18"/>
      <c r="C294" s="18"/>
      <c r="D294" s="18"/>
      <c r="E294" s="18"/>
      <c r="F294" s="14">
        <v>3</v>
      </c>
      <c r="G294" s="8">
        <v>100000</v>
      </c>
      <c r="H294" s="14">
        <v>2.7</v>
      </c>
      <c r="I294" s="14">
        <v>3.85</v>
      </c>
      <c r="J294" s="14">
        <v>0</v>
      </c>
      <c r="K294" s="14">
        <v>3.85</v>
      </c>
      <c r="L294" s="14">
        <v>3</v>
      </c>
    </row>
    <row r="295" spans="1:12">
      <c r="A295" s="19"/>
      <c r="B295" s="19" t="s">
        <v>12</v>
      </c>
      <c r="C295" s="19" t="s">
        <v>57</v>
      </c>
      <c r="D295" s="19" t="s">
        <v>92</v>
      </c>
      <c r="E295" s="19" t="s">
        <v>17</v>
      </c>
      <c r="F295" s="19"/>
      <c r="G295" s="19"/>
      <c r="H295" s="19"/>
      <c r="I295" s="19"/>
      <c r="J295" s="19"/>
      <c r="K295" s="19"/>
      <c r="L295" s="15"/>
    </row>
    <row r="296" spans="1:12">
      <c r="A296" s="19"/>
      <c r="B296" s="19"/>
      <c r="C296" s="19"/>
      <c r="D296" s="19"/>
      <c r="E296" s="19"/>
      <c r="F296" s="15">
        <v>3</v>
      </c>
      <c r="G296" s="7">
        <v>3000</v>
      </c>
      <c r="H296" s="15">
        <v>2.5</v>
      </c>
      <c r="I296" s="15">
        <v>3.7</v>
      </c>
      <c r="J296" s="15">
        <v>1</v>
      </c>
      <c r="K296" s="15">
        <v>3.1539999999999999</v>
      </c>
      <c r="L296" s="15">
        <v>7</v>
      </c>
    </row>
    <row r="297" spans="1:12">
      <c r="A297" s="18"/>
      <c r="B297" s="18" t="s">
        <v>58</v>
      </c>
      <c r="C297" s="18" t="s">
        <v>59</v>
      </c>
      <c r="D297" s="18" t="s">
        <v>14</v>
      </c>
      <c r="E297" s="18" t="s">
        <v>17</v>
      </c>
      <c r="F297" s="18"/>
      <c r="G297" s="18"/>
      <c r="H297" s="18"/>
      <c r="I297" s="18"/>
      <c r="J297" s="18"/>
      <c r="K297" s="18"/>
      <c r="L297" s="14"/>
    </row>
    <row r="298" spans="1:12">
      <c r="A298" s="18"/>
      <c r="B298" s="18"/>
      <c r="C298" s="18"/>
      <c r="D298" s="18"/>
      <c r="E298" s="18"/>
      <c r="F298" s="14">
        <v>3</v>
      </c>
      <c r="G298" s="8">
        <v>100000</v>
      </c>
      <c r="H298" s="14">
        <v>2.4</v>
      </c>
      <c r="I298" s="14">
        <v>4.0999999999999996</v>
      </c>
      <c r="J298" s="14">
        <v>0</v>
      </c>
      <c r="K298" s="14">
        <v>4.0999999999999996</v>
      </c>
      <c r="L298" s="14">
        <v>3</v>
      </c>
    </row>
    <row r="299" spans="1:12">
      <c r="A299" s="19"/>
      <c r="B299" s="19" t="s">
        <v>60</v>
      </c>
      <c r="C299" s="19" t="s">
        <v>61</v>
      </c>
      <c r="D299" s="19" t="s">
        <v>14</v>
      </c>
      <c r="E299" s="19" t="s">
        <v>62</v>
      </c>
      <c r="F299" s="19"/>
      <c r="G299" s="19"/>
      <c r="H299" s="19"/>
      <c r="I299" s="19"/>
      <c r="J299" s="19"/>
      <c r="K299" s="19"/>
      <c r="L299" s="15"/>
    </row>
    <row r="300" spans="1:12">
      <c r="A300" s="19"/>
      <c r="B300" s="19"/>
      <c r="C300" s="19"/>
      <c r="D300" s="19"/>
      <c r="E300" s="19"/>
      <c r="F300" s="15">
        <v>3</v>
      </c>
      <c r="G300" s="7">
        <v>100000</v>
      </c>
      <c r="H300" s="15">
        <v>2.4500000000000002</v>
      </c>
      <c r="I300" s="15">
        <v>4.0999999999999996</v>
      </c>
      <c r="J300" s="15">
        <v>0</v>
      </c>
      <c r="K300" s="15">
        <v>4.0999999999999996</v>
      </c>
      <c r="L300" s="15">
        <v>3</v>
      </c>
    </row>
    <row r="301" spans="1:12">
      <c r="A301" s="18"/>
      <c r="B301" s="18" t="s">
        <v>60</v>
      </c>
      <c r="C301" s="18" t="s">
        <v>148</v>
      </c>
      <c r="D301" s="18" t="s">
        <v>14</v>
      </c>
      <c r="E301" s="18" t="s">
        <v>17</v>
      </c>
      <c r="F301" s="18" t="s">
        <v>149</v>
      </c>
      <c r="G301" s="18"/>
      <c r="H301" s="18"/>
      <c r="I301" s="18"/>
      <c r="J301" s="18"/>
      <c r="K301" s="18"/>
      <c r="L301" s="14"/>
    </row>
    <row r="302" spans="1:12">
      <c r="A302" s="18"/>
      <c r="B302" s="18"/>
      <c r="C302" s="18"/>
      <c r="D302" s="18"/>
      <c r="E302" s="18"/>
      <c r="F302" s="14">
        <v>3</v>
      </c>
      <c r="G302" s="8">
        <v>100000</v>
      </c>
      <c r="H302" s="14">
        <v>2.5</v>
      </c>
      <c r="I302" s="14">
        <v>4.05</v>
      </c>
      <c r="J302" s="14">
        <v>0</v>
      </c>
      <c r="K302" s="14">
        <v>4.05</v>
      </c>
      <c r="L302" s="14">
        <v>3</v>
      </c>
    </row>
    <row r="303" spans="1:12">
      <c r="A303" s="19"/>
      <c r="B303" s="19" t="s">
        <v>63</v>
      </c>
      <c r="C303" s="19" t="s">
        <v>64</v>
      </c>
      <c r="D303" s="19" t="s">
        <v>14</v>
      </c>
      <c r="E303" s="19" t="s">
        <v>17</v>
      </c>
      <c r="F303" s="19" t="s">
        <v>65</v>
      </c>
      <c r="G303" s="19"/>
      <c r="H303" s="19"/>
      <c r="I303" s="19"/>
      <c r="J303" s="19"/>
      <c r="K303" s="19"/>
      <c r="L303" s="15"/>
    </row>
    <row r="304" spans="1:12">
      <c r="A304" s="19"/>
      <c r="B304" s="19"/>
      <c r="C304" s="19"/>
      <c r="D304" s="19"/>
      <c r="E304" s="19"/>
      <c r="F304" s="15">
        <v>3</v>
      </c>
      <c r="G304" s="7">
        <v>100000</v>
      </c>
      <c r="H304" s="15">
        <v>0.1</v>
      </c>
      <c r="I304" s="15">
        <v>4.6500000000000004</v>
      </c>
      <c r="J304" s="15">
        <v>0</v>
      </c>
      <c r="K304" s="15">
        <v>4.6500000000000004</v>
      </c>
      <c r="L304" s="15">
        <v>3</v>
      </c>
    </row>
    <row r="305" spans="1:12">
      <c r="A305" s="18"/>
      <c r="B305" s="18" t="s">
        <v>26</v>
      </c>
      <c r="C305" s="18" t="s">
        <v>27</v>
      </c>
      <c r="D305" s="18" t="s">
        <v>14</v>
      </c>
      <c r="E305" s="18" t="s">
        <v>17</v>
      </c>
      <c r="F305" s="18"/>
      <c r="G305" s="18"/>
      <c r="H305" s="18"/>
      <c r="I305" s="18"/>
      <c r="J305" s="18"/>
      <c r="K305" s="18"/>
      <c r="L305" s="14"/>
    </row>
    <row r="306" spans="1:12">
      <c r="A306" s="18"/>
      <c r="B306" s="18"/>
      <c r="C306" s="18"/>
      <c r="D306" s="18"/>
      <c r="E306" s="18"/>
      <c r="F306" s="14">
        <v>3</v>
      </c>
      <c r="G306" s="8">
        <v>100000</v>
      </c>
      <c r="H306" s="14">
        <v>1</v>
      </c>
      <c r="I306" s="14">
        <v>4.2</v>
      </c>
      <c r="J306" s="14">
        <v>0</v>
      </c>
      <c r="K306" s="14">
        <v>4.2</v>
      </c>
      <c r="L306" s="14">
        <v>3</v>
      </c>
    </row>
    <row r="307" spans="1:12">
      <c r="A307" s="19"/>
      <c r="B307" s="19" t="s">
        <v>21</v>
      </c>
      <c r="C307" s="19" t="s">
        <v>22</v>
      </c>
      <c r="D307" s="19" t="s">
        <v>14</v>
      </c>
      <c r="E307" s="19" t="s">
        <v>15</v>
      </c>
      <c r="F307" s="19"/>
      <c r="G307" s="19"/>
      <c r="H307" s="19"/>
      <c r="I307" s="19"/>
      <c r="J307" s="19"/>
      <c r="K307" s="19"/>
      <c r="L307" s="15"/>
    </row>
    <row r="308" spans="1:12">
      <c r="A308" s="19"/>
      <c r="B308" s="19"/>
      <c r="C308" s="19"/>
      <c r="D308" s="19"/>
      <c r="E308" s="19"/>
      <c r="F308" s="15">
        <v>3</v>
      </c>
      <c r="G308" s="7">
        <v>2000</v>
      </c>
      <c r="H308" s="15">
        <v>0</v>
      </c>
      <c r="I308" s="15">
        <v>2.7</v>
      </c>
      <c r="J308" s="15">
        <v>0</v>
      </c>
      <c r="K308" s="15">
        <v>2.7</v>
      </c>
      <c r="L308" s="15">
        <v>3</v>
      </c>
    </row>
    <row r="309" spans="1:12">
      <c r="A309" s="18"/>
      <c r="B309" s="18" t="s">
        <v>21</v>
      </c>
      <c r="C309" s="18" t="s">
        <v>66</v>
      </c>
      <c r="D309" s="18" t="s">
        <v>14</v>
      </c>
      <c r="E309" s="18" t="s">
        <v>17</v>
      </c>
      <c r="F309" s="18" t="s">
        <v>166</v>
      </c>
      <c r="G309" s="18"/>
      <c r="H309" s="18"/>
      <c r="I309" s="18"/>
      <c r="J309" s="18"/>
      <c r="K309" s="18"/>
      <c r="L309" s="14"/>
    </row>
    <row r="310" spans="1:12">
      <c r="A310" s="18"/>
      <c r="B310" s="18"/>
      <c r="C310" s="18"/>
      <c r="D310" s="18"/>
      <c r="E310" s="18"/>
      <c r="F310" s="14">
        <v>3</v>
      </c>
      <c r="G310" s="8">
        <v>100000</v>
      </c>
      <c r="H310" s="14">
        <v>0.5</v>
      </c>
      <c r="I310" s="14">
        <v>4.0999999999999996</v>
      </c>
      <c r="J310" s="14">
        <v>0</v>
      </c>
      <c r="K310" s="14">
        <v>4.0999999999999996</v>
      </c>
      <c r="L310" s="14">
        <v>3</v>
      </c>
    </row>
    <row r="311" spans="1:12">
      <c r="A311" s="19"/>
      <c r="B311" s="19" t="s">
        <v>21</v>
      </c>
      <c r="C311" s="19" t="s">
        <v>66</v>
      </c>
      <c r="D311" s="19" t="s">
        <v>14</v>
      </c>
      <c r="E311" s="19" t="s">
        <v>17</v>
      </c>
      <c r="F311" s="19" t="s">
        <v>167</v>
      </c>
      <c r="G311" s="19"/>
      <c r="H311" s="19"/>
      <c r="I311" s="19"/>
      <c r="J311" s="19"/>
      <c r="K311" s="19"/>
      <c r="L311" s="15"/>
    </row>
    <row r="312" spans="1:12">
      <c r="A312" s="19"/>
      <c r="B312" s="19"/>
      <c r="C312" s="19"/>
      <c r="D312" s="19"/>
      <c r="E312" s="19"/>
      <c r="F312" s="15">
        <v>3</v>
      </c>
      <c r="G312" s="7">
        <v>100000</v>
      </c>
      <c r="H312" s="15">
        <v>0.5</v>
      </c>
      <c r="I312" s="15">
        <v>4</v>
      </c>
      <c r="J312" s="15">
        <v>0</v>
      </c>
      <c r="K312" s="15">
        <v>4</v>
      </c>
      <c r="L312" s="15">
        <v>3</v>
      </c>
    </row>
    <row r="313" spans="1:12">
      <c r="A313" s="18"/>
      <c r="B313" s="18" t="s">
        <v>21</v>
      </c>
      <c r="C313" s="18" t="s">
        <v>66</v>
      </c>
      <c r="D313" s="18" t="s">
        <v>14</v>
      </c>
      <c r="E313" s="18" t="s">
        <v>17</v>
      </c>
      <c r="F313" s="18" t="s">
        <v>168</v>
      </c>
      <c r="G313" s="18"/>
      <c r="H313" s="18"/>
      <c r="I313" s="18"/>
      <c r="J313" s="18"/>
      <c r="K313" s="18"/>
      <c r="L313" s="14"/>
    </row>
    <row r="314" spans="1:12">
      <c r="A314" s="18"/>
      <c r="B314" s="18"/>
      <c r="C314" s="18"/>
      <c r="D314" s="18"/>
      <c r="E314" s="18"/>
      <c r="F314" s="14">
        <v>3</v>
      </c>
      <c r="G314" s="8">
        <v>100000</v>
      </c>
      <c r="H314" s="14">
        <v>0.5</v>
      </c>
      <c r="I314" s="14">
        <v>3.85</v>
      </c>
      <c r="J314" s="14">
        <v>0</v>
      </c>
      <c r="K314" s="14">
        <v>3.85</v>
      </c>
      <c r="L314" s="14">
        <v>3</v>
      </c>
    </row>
    <row r="315" spans="1:12">
      <c r="A315" s="19"/>
      <c r="B315" s="19" t="s">
        <v>69</v>
      </c>
      <c r="C315" s="19" t="s">
        <v>70</v>
      </c>
      <c r="D315" s="19" t="s">
        <v>14</v>
      </c>
      <c r="E315" s="19" t="s">
        <v>17</v>
      </c>
      <c r="F315" s="19"/>
      <c r="G315" s="19"/>
      <c r="H315" s="19"/>
      <c r="I315" s="19"/>
      <c r="J315" s="19"/>
      <c r="K315" s="19"/>
      <c r="L315" s="15"/>
    </row>
    <row r="316" spans="1:12">
      <c r="A316" s="19"/>
      <c r="B316" s="19"/>
      <c r="C316" s="19"/>
      <c r="D316" s="19"/>
      <c r="E316" s="19"/>
      <c r="F316" s="15">
        <v>3</v>
      </c>
      <c r="G316" s="7">
        <v>100000</v>
      </c>
      <c r="H316" s="15">
        <v>0.05</v>
      </c>
      <c r="I316" s="15">
        <v>4.25</v>
      </c>
      <c r="J316" s="15">
        <v>0</v>
      </c>
      <c r="K316" s="15">
        <v>4.25</v>
      </c>
      <c r="L316" s="15">
        <v>3</v>
      </c>
    </row>
    <row r="317" spans="1:12">
      <c r="A317" s="18"/>
      <c r="B317" s="18" t="s">
        <v>69</v>
      </c>
      <c r="C317" s="18" t="s">
        <v>71</v>
      </c>
      <c r="D317" s="18" t="s">
        <v>14</v>
      </c>
      <c r="E317" s="18" t="s">
        <v>17</v>
      </c>
      <c r="F317" s="18"/>
      <c r="G317" s="18"/>
      <c r="H317" s="18"/>
      <c r="I317" s="18"/>
      <c r="J317" s="18"/>
      <c r="K317" s="18"/>
      <c r="L317" s="14"/>
    </row>
    <row r="318" spans="1:12">
      <c r="A318" s="18"/>
      <c r="B318" s="18"/>
      <c r="C318" s="18"/>
      <c r="D318" s="18"/>
      <c r="E318" s="18"/>
      <c r="F318" s="14">
        <v>3</v>
      </c>
      <c r="G318" s="8">
        <v>100000</v>
      </c>
      <c r="H318" s="14">
        <v>0.05</v>
      </c>
      <c r="I318" s="14">
        <v>4.3</v>
      </c>
      <c r="J318" s="14">
        <v>0</v>
      </c>
      <c r="K318" s="14">
        <v>4.3</v>
      </c>
      <c r="L318" s="14">
        <v>3</v>
      </c>
    </row>
    <row r="319" spans="1:12">
      <c r="A319" s="19"/>
      <c r="B319" s="19" t="s">
        <v>72</v>
      </c>
      <c r="C319" s="19" t="s">
        <v>73</v>
      </c>
      <c r="D319" s="19" t="s">
        <v>14</v>
      </c>
      <c r="E319" s="19" t="s">
        <v>17</v>
      </c>
      <c r="F319" s="19"/>
      <c r="G319" s="19"/>
      <c r="H319" s="19"/>
      <c r="I319" s="19"/>
      <c r="J319" s="19"/>
      <c r="K319" s="19"/>
      <c r="L319" s="15"/>
    </row>
    <row r="320" spans="1:12">
      <c r="A320" s="19"/>
      <c r="B320" s="19"/>
      <c r="C320" s="19"/>
      <c r="D320" s="19"/>
      <c r="E320" s="19"/>
      <c r="F320" s="15">
        <v>3</v>
      </c>
      <c r="G320" s="7">
        <v>100000</v>
      </c>
      <c r="H320" s="15">
        <v>1.7</v>
      </c>
      <c r="I320" s="15">
        <v>4.4000000000000004</v>
      </c>
      <c r="J320" s="15">
        <v>0</v>
      </c>
      <c r="K320" s="15">
        <v>4.4000000000000004</v>
      </c>
      <c r="L320" s="15">
        <v>3</v>
      </c>
    </row>
    <row r="321" spans="1:12">
      <c r="A321" s="18"/>
      <c r="B321" s="18" t="s">
        <v>77</v>
      </c>
      <c r="C321" s="18" t="s">
        <v>78</v>
      </c>
      <c r="D321" s="18" t="s">
        <v>14</v>
      </c>
      <c r="E321" s="18" t="s">
        <v>17</v>
      </c>
      <c r="F321" s="18"/>
      <c r="G321" s="18"/>
      <c r="H321" s="18"/>
      <c r="I321" s="18"/>
      <c r="J321" s="18"/>
      <c r="K321" s="18"/>
      <c r="L321" s="14"/>
    </row>
    <row r="322" spans="1:12">
      <c r="A322" s="18"/>
      <c r="B322" s="18"/>
      <c r="C322" s="18"/>
      <c r="D322" s="18"/>
      <c r="E322" s="18"/>
      <c r="F322" s="14">
        <v>3</v>
      </c>
      <c r="G322" s="8">
        <v>100000</v>
      </c>
      <c r="H322" s="14">
        <v>0.25</v>
      </c>
      <c r="I322" s="14">
        <v>4.2</v>
      </c>
      <c r="J322" s="14">
        <v>0</v>
      </c>
      <c r="K322" s="14">
        <v>4.2</v>
      </c>
      <c r="L322" s="14">
        <v>3</v>
      </c>
    </row>
    <row r="323" spans="1:12">
      <c r="A323" s="19"/>
      <c r="B323" s="19" t="s">
        <v>80</v>
      </c>
      <c r="C323" s="19" t="s">
        <v>169</v>
      </c>
      <c r="D323" s="19" t="s">
        <v>14</v>
      </c>
      <c r="E323" s="19" t="s">
        <v>17</v>
      </c>
      <c r="F323" s="19" t="s">
        <v>82</v>
      </c>
      <c r="G323" s="19"/>
      <c r="H323" s="19"/>
      <c r="I323" s="19"/>
      <c r="J323" s="19"/>
      <c r="K323" s="19"/>
      <c r="L323" s="15"/>
    </row>
    <row r="324" spans="1:12">
      <c r="A324" s="19"/>
      <c r="B324" s="19"/>
      <c r="C324" s="19"/>
      <c r="D324" s="19"/>
      <c r="E324" s="19"/>
      <c r="F324" s="15">
        <v>3</v>
      </c>
      <c r="G324" s="7">
        <v>100000</v>
      </c>
      <c r="H324" s="15">
        <v>1</v>
      </c>
      <c r="I324" s="15">
        <v>4.55</v>
      </c>
      <c r="J324" s="15">
        <v>0</v>
      </c>
      <c r="K324" s="15">
        <v>4.55</v>
      </c>
      <c r="L324" s="15">
        <v>3</v>
      </c>
    </row>
    <row r="325" spans="1:12">
      <c r="A325" s="18"/>
      <c r="B325" s="18" t="s">
        <v>80</v>
      </c>
      <c r="C325" s="18" t="s">
        <v>170</v>
      </c>
      <c r="D325" s="18" t="s">
        <v>14</v>
      </c>
      <c r="E325" s="18" t="s">
        <v>17</v>
      </c>
      <c r="F325" s="18" t="s">
        <v>84</v>
      </c>
      <c r="G325" s="18"/>
      <c r="H325" s="18"/>
      <c r="I325" s="18"/>
      <c r="J325" s="18"/>
      <c r="K325" s="18"/>
      <c r="L325" s="14"/>
    </row>
    <row r="326" spans="1:12">
      <c r="A326" s="18"/>
      <c r="B326" s="18"/>
      <c r="C326" s="18"/>
      <c r="D326" s="18"/>
      <c r="E326" s="18"/>
      <c r="F326" s="14">
        <v>3</v>
      </c>
      <c r="G326" s="8">
        <v>100000</v>
      </c>
      <c r="H326" s="14">
        <v>1</v>
      </c>
      <c r="I326" s="14">
        <v>4.45</v>
      </c>
      <c r="J326" s="14">
        <v>0</v>
      </c>
      <c r="K326" s="14">
        <v>4.45</v>
      </c>
      <c r="L326" s="14">
        <v>3</v>
      </c>
    </row>
    <row r="327" spans="1:12">
      <c r="A327" s="19"/>
      <c r="B327" s="19" t="s">
        <v>80</v>
      </c>
      <c r="C327" s="19" t="s">
        <v>171</v>
      </c>
      <c r="D327" s="19" t="s">
        <v>14</v>
      </c>
      <c r="E327" s="19" t="s">
        <v>17</v>
      </c>
      <c r="F327" s="19" t="s">
        <v>86</v>
      </c>
      <c r="G327" s="19"/>
      <c r="H327" s="19"/>
      <c r="I327" s="19"/>
      <c r="J327" s="19"/>
      <c r="K327" s="19"/>
      <c r="L327" s="15"/>
    </row>
    <row r="328" spans="1:12">
      <c r="A328" s="19"/>
      <c r="B328" s="19"/>
      <c r="C328" s="19"/>
      <c r="D328" s="19"/>
      <c r="E328" s="19"/>
      <c r="F328" s="15">
        <v>3</v>
      </c>
      <c r="G328" s="7">
        <v>100000</v>
      </c>
      <c r="H328" s="15">
        <v>1</v>
      </c>
      <c r="I328" s="15">
        <v>4.5</v>
      </c>
      <c r="J328" s="15">
        <v>0</v>
      </c>
      <c r="K328" s="15">
        <v>4.5</v>
      </c>
      <c r="L328" s="15">
        <v>3</v>
      </c>
    </row>
    <row r="329" spans="1:12">
      <c r="A329" s="18"/>
      <c r="B329" s="18" t="s">
        <v>80</v>
      </c>
      <c r="C329" s="18" t="s">
        <v>172</v>
      </c>
      <c r="D329" s="18" t="s">
        <v>14</v>
      </c>
      <c r="E329" s="18" t="s">
        <v>17</v>
      </c>
      <c r="F329" s="18" t="s">
        <v>88</v>
      </c>
      <c r="G329" s="18"/>
      <c r="H329" s="18"/>
      <c r="I329" s="18"/>
      <c r="J329" s="18"/>
      <c r="K329" s="18"/>
      <c r="L329" s="14"/>
    </row>
    <row r="330" spans="1:12">
      <c r="A330" s="18"/>
      <c r="B330" s="18"/>
      <c r="C330" s="18"/>
      <c r="D330" s="18"/>
      <c r="E330" s="18"/>
      <c r="F330" s="14">
        <v>3</v>
      </c>
      <c r="G330" s="8">
        <v>100000</v>
      </c>
      <c r="H330" s="14">
        <v>1</v>
      </c>
      <c r="I330" s="14">
        <v>4.3499999999999996</v>
      </c>
      <c r="J330" s="14">
        <v>0</v>
      </c>
      <c r="K330" s="14">
        <v>4.3499999999999996</v>
      </c>
      <c r="L330" s="14">
        <v>3</v>
      </c>
    </row>
    <row r="331" spans="1:12">
      <c r="A331" s="19"/>
      <c r="B331" s="19" t="s">
        <v>89</v>
      </c>
      <c r="C331" s="19" t="s">
        <v>90</v>
      </c>
      <c r="D331" s="19" t="s">
        <v>14</v>
      </c>
      <c r="E331" s="19" t="s">
        <v>17</v>
      </c>
      <c r="F331" s="19"/>
      <c r="G331" s="19"/>
      <c r="H331" s="19"/>
      <c r="I331" s="19"/>
      <c r="J331" s="19"/>
      <c r="K331" s="19"/>
      <c r="L331" s="15"/>
    </row>
    <row r="332" spans="1:12">
      <c r="A332" s="19"/>
      <c r="B332" s="19"/>
      <c r="C332" s="19"/>
      <c r="D332" s="19"/>
      <c r="E332" s="19"/>
      <c r="F332" s="15">
        <v>3</v>
      </c>
      <c r="G332" s="7">
        <v>10000</v>
      </c>
      <c r="H332" s="15">
        <v>2.4</v>
      </c>
      <c r="I332" s="15">
        <v>4.55</v>
      </c>
      <c r="J332" s="15">
        <v>0</v>
      </c>
      <c r="K332" s="15">
        <v>4.55</v>
      </c>
      <c r="L332" s="15">
        <v>3</v>
      </c>
    </row>
    <row r="333" spans="1:12">
      <c r="A333" s="18"/>
      <c r="B333" s="18" t="s">
        <v>94</v>
      </c>
      <c r="C333" s="18" t="s">
        <v>173</v>
      </c>
      <c r="D333" s="18" t="s">
        <v>14</v>
      </c>
      <c r="E333" s="18" t="s">
        <v>17</v>
      </c>
      <c r="F333" s="18" t="s">
        <v>96</v>
      </c>
      <c r="G333" s="18"/>
      <c r="H333" s="18"/>
      <c r="I333" s="18"/>
      <c r="J333" s="18"/>
      <c r="K333" s="18"/>
      <c r="L333" s="14"/>
    </row>
    <row r="334" spans="1:12">
      <c r="A334" s="18"/>
      <c r="B334" s="18"/>
      <c r="C334" s="18"/>
      <c r="D334" s="18"/>
      <c r="E334" s="18"/>
      <c r="F334" s="14">
        <v>3</v>
      </c>
      <c r="G334" s="8">
        <v>100000</v>
      </c>
      <c r="H334" s="14">
        <v>0.1</v>
      </c>
      <c r="I334" s="14">
        <v>4.0999999999999996</v>
      </c>
      <c r="J334" s="14">
        <v>0</v>
      </c>
      <c r="K334" s="14">
        <v>4.0999999999999996</v>
      </c>
      <c r="L334" s="14">
        <v>3</v>
      </c>
    </row>
    <row r="335" spans="1:12">
      <c r="A335" s="19"/>
      <c r="B335" s="19" t="s">
        <v>94</v>
      </c>
      <c r="C335" s="19" t="s">
        <v>173</v>
      </c>
      <c r="D335" s="19" t="s">
        <v>14</v>
      </c>
      <c r="E335" s="19" t="s">
        <v>17</v>
      </c>
      <c r="F335" s="19" t="s">
        <v>97</v>
      </c>
      <c r="G335" s="19"/>
      <c r="H335" s="19"/>
      <c r="I335" s="19"/>
      <c r="J335" s="19"/>
      <c r="K335" s="19"/>
      <c r="L335" s="15"/>
    </row>
    <row r="336" spans="1:12">
      <c r="A336" s="19"/>
      <c r="B336" s="19"/>
      <c r="C336" s="19"/>
      <c r="D336" s="19"/>
      <c r="E336" s="19"/>
      <c r="F336" s="15">
        <v>3</v>
      </c>
      <c r="G336" s="7">
        <v>100000</v>
      </c>
      <c r="H336" s="15">
        <v>0.1</v>
      </c>
      <c r="I336" s="15">
        <v>4.05</v>
      </c>
      <c r="J336" s="15">
        <v>0</v>
      </c>
      <c r="K336" s="15">
        <v>4.05</v>
      </c>
      <c r="L336" s="15">
        <v>3</v>
      </c>
    </row>
    <row r="337" spans="1:12">
      <c r="A337" s="18"/>
      <c r="B337" s="18" t="s">
        <v>94</v>
      </c>
      <c r="C337" s="18" t="s">
        <v>173</v>
      </c>
      <c r="D337" s="18" t="s">
        <v>14</v>
      </c>
      <c r="E337" s="18" t="s">
        <v>17</v>
      </c>
      <c r="F337" s="18" t="s">
        <v>98</v>
      </c>
      <c r="G337" s="18"/>
      <c r="H337" s="18"/>
      <c r="I337" s="18"/>
      <c r="J337" s="18"/>
      <c r="K337" s="18"/>
      <c r="L337" s="14"/>
    </row>
    <row r="338" spans="1:12">
      <c r="A338" s="18"/>
      <c r="B338" s="18"/>
      <c r="C338" s="18"/>
      <c r="D338" s="18"/>
      <c r="E338" s="18"/>
      <c r="F338" s="14">
        <v>3</v>
      </c>
      <c r="G338" s="8">
        <v>100000</v>
      </c>
      <c r="H338" s="14">
        <v>0.1</v>
      </c>
      <c r="I338" s="14">
        <v>4</v>
      </c>
      <c r="J338" s="14">
        <v>0</v>
      </c>
      <c r="K338" s="14">
        <v>4</v>
      </c>
      <c r="L338" s="14">
        <v>3</v>
      </c>
    </row>
    <row r="339" spans="1:12">
      <c r="A339" s="19"/>
      <c r="B339" s="19" t="s">
        <v>94</v>
      </c>
      <c r="C339" s="19" t="s">
        <v>173</v>
      </c>
      <c r="D339" s="19" t="s">
        <v>14</v>
      </c>
      <c r="E339" s="19" t="s">
        <v>17</v>
      </c>
      <c r="F339" s="19" t="s">
        <v>99</v>
      </c>
      <c r="G339" s="19"/>
      <c r="H339" s="19"/>
      <c r="I339" s="19"/>
      <c r="J339" s="19"/>
      <c r="K339" s="19"/>
      <c r="L339" s="15"/>
    </row>
    <row r="340" spans="1:12">
      <c r="A340" s="19"/>
      <c r="B340" s="19"/>
      <c r="C340" s="19"/>
      <c r="D340" s="19"/>
      <c r="E340" s="19"/>
      <c r="F340" s="15">
        <v>3</v>
      </c>
      <c r="G340" s="7">
        <v>100000</v>
      </c>
      <c r="H340" s="15">
        <v>0.1</v>
      </c>
      <c r="I340" s="15">
        <v>3.9</v>
      </c>
      <c r="J340" s="15">
        <v>0</v>
      </c>
      <c r="K340" s="15">
        <v>3.9</v>
      </c>
      <c r="L340" s="15">
        <v>3</v>
      </c>
    </row>
    <row r="341" spans="1:12">
      <c r="A341" s="18"/>
      <c r="B341" s="18" t="s">
        <v>100</v>
      </c>
      <c r="C341" s="18" t="s">
        <v>174</v>
      </c>
      <c r="D341" s="18" t="s">
        <v>14</v>
      </c>
      <c r="E341" s="18" t="s">
        <v>17</v>
      </c>
      <c r="F341" s="18"/>
      <c r="G341" s="18"/>
      <c r="H341" s="18"/>
      <c r="I341" s="18"/>
      <c r="J341" s="18"/>
      <c r="K341" s="18"/>
      <c r="L341" s="14"/>
    </row>
    <row r="342" spans="1:12">
      <c r="A342" s="18"/>
      <c r="B342" s="18"/>
      <c r="C342" s="18"/>
      <c r="D342" s="18"/>
      <c r="E342" s="18"/>
      <c r="F342" s="14">
        <v>3</v>
      </c>
      <c r="G342" s="8">
        <v>100000</v>
      </c>
      <c r="H342" s="14">
        <v>0.25</v>
      </c>
      <c r="I342" s="14">
        <v>4.5999999999999996</v>
      </c>
      <c r="J342" s="14">
        <v>0</v>
      </c>
      <c r="K342" s="14">
        <v>4.5999999999999996</v>
      </c>
      <c r="L342" s="14">
        <v>3</v>
      </c>
    </row>
    <row r="343" spans="1:12">
      <c r="A343" s="19"/>
      <c r="B343" s="19" t="s">
        <v>100</v>
      </c>
      <c r="C343" s="19" t="s">
        <v>175</v>
      </c>
      <c r="D343" s="19" t="s">
        <v>14</v>
      </c>
      <c r="E343" s="19" t="s">
        <v>17</v>
      </c>
      <c r="F343" s="19" t="s">
        <v>103</v>
      </c>
      <c r="G343" s="19"/>
      <c r="H343" s="19"/>
      <c r="I343" s="19"/>
      <c r="J343" s="19"/>
      <c r="K343" s="19"/>
      <c r="L343" s="15"/>
    </row>
    <row r="344" spans="1:12">
      <c r="A344" s="19"/>
      <c r="B344" s="19"/>
      <c r="C344" s="19"/>
      <c r="D344" s="19"/>
      <c r="E344" s="19"/>
      <c r="F344" s="15">
        <v>3</v>
      </c>
      <c r="G344" s="7">
        <v>100000</v>
      </c>
      <c r="H344" s="15">
        <v>0.25</v>
      </c>
      <c r="I344" s="15">
        <v>4.25</v>
      </c>
      <c r="J344" s="15">
        <v>0</v>
      </c>
      <c r="K344" s="15">
        <v>4.25</v>
      </c>
      <c r="L344" s="15">
        <v>3</v>
      </c>
    </row>
    <row r="345" spans="1:12">
      <c r="A345" s="18"/>
      <c r="B345" s="18" t="s">
        <v>100</v>
      </c>
      <c r="C345" s="18" t="s">
        <v>175</v>
      </c>
      <c r="D345" s="18" t="s">
        <v>14</v>
      </c>
      <c r="E345" s="18" t="s">
        <v>17</v>
      </c>
      <c r="F345" s="18" t="s">
        <v>104</v>
      </c>
      <c r="G345" s="18"/>
      <c r="H345" s="18"/>
      <c r="I345" s="18"/>
      <c r="J345" s="18"/>
      <c r="K345" s="18"/>
      <c r="L345" s="14"/>
    </row>
    <row r="346" spans="1:12">
      <c r="A346" s="18"/>
      <c r="B346" s="18"/>
      <c r="C346" s="18"/>
      <c r="D346" s="18"/>
      <c r="E346" s="18"/>
      <c r="F346" s="14">
        <v>3</v>
      </c>
      <c r="G346" s="8">
        <v>100000</v>
      </c>
      <c r="H346" s="14">
        <v>0.25</v>
      </c>
      <c r="I346" s="14">
        <v>4.5</v>
      </c>
      <c r="J346" s="14">
        <v>0</v>
      </c>
      <c r="K346" s="14">
        <v>4.5</v>
      </c>
      <c r="L346" s="14">
        <v>3</v>
      </c>
    </row>
    <row r="347" spans="1:12">
      <c r="A347" s="19"/>
      <c r="B347" s="19" t="s">
        <v>105</v>
      </c>
      <c r="C347" s="19" t="s">
        <v>106</v>
      </c>
      <c r="D347" s="19" t="s">
        <v>14</v>
      </c>
      <c r="E347" s="19" t="s">
        <v>17</v>
      </c>
      <c r="F347" s="19" t="s">
        <v>176</v>
      </c>
      <c r="G347" s="19"/>
      <c r="H347" s="19"/>
      <c r="I347" s="19"/>
      <c r="J347" s="19"/>
      <c r="K347" s="19"/>
      <c r="L347" s="15"/>
    </row>
    <row r="348" spans="1:12">
      <c r="A348" s="19"/>
      <c r="B348" s="19"/>
      <c r="C348" s="19"/>
      <c r="D348" s="19"/>
      <c r="E348" s="19"/>
      <c r="F348" s="15">
        <v>3</v>
      </c>
      <c r="G348" s="7">
        <v>100000</v>
      </c>
      <c r="H348" s="15">
        <v>1</v>
      </c>
      <c r="I348" s="15">
        <v>3.6</v>
      </c>
      <c r="J348" s="15">
        <v>0</v>
      </c>
      <c r="K348" s="15">
        <v>3.6</v>
      </c>
      <c r="L348" s="15">
        <v>3</v>
      </c>
    </row>
    <row r="349" spans="1:12">
      <c r="A349" s="18"/>
      <c r="B349" s="18" t="s">
        <v>108</v>
      </c>
      <c r="C349" s="18" t="s">
        <v>109</v>
      </c>
      <c r="D349" s="18" t="s">
        <v>14</v>
      </c>
      <c r="E349" s="18" t="s">
        <v>17</v>
      </c>
      <c r="F349" s="18"/>
      <c r="G349" s="18"/>
      <c r="H349" s="18"/>
      <c r="I349" s="18"/>
      <c r="J349" s="18"/>
      <c r="K349" s="18"/>
      <c r="L349" s="14"/>
    </row>
    <row r="350" spans="1:12">
      <c r="A350" s="18"/>
      <c r="B350" s="18"/>
      <c r="C350" s="18"/>
      <c r="D350" s="18"/>
      <c r="E350" s="18"/>
      <c r="F350" s="14">
        <v>3</v>
      </c>
      <c r="G350" s="8">
        <v>100000</v>
      </c>
      <c r="H350" s="14">
        <v>1.1499999999999999</v>
      </c>
      <c r="I350" s="14">
        <v>3.55</v>
      </c>
      <c r="J350" s="14">
        <v>0</v>
      </c>
      <c r="K350" s="14">
        <v>3.55</v>
      </c>
      <c r="L350" s="14">
        <v>3</v>
      </c>
    </row>
  </sheetData>
  <mergeCells count="1028">
    <mergeCell ref="A6:A7"/>
    <mergeCell ref="B6:B7"/>
    <mergeCell ref="C6:C7"/>
    <mergeCell ref="D6:D7"/>
    <mergeCell ref="E6:E7"/>
    <mergeCell ref="F6:K6"/>
    <mergeCell ref="A3:L3"/>
    <mergeCell ref="A4:A5"/>
    <mergeCell ref="B4:B5"/>
    <mergeCell ref="C4:C5"/>
    <mergeCell ref="D4:D5"/>
    <mergeCell ref="E4:E5"/>
    <mergeCell ref="F4:K4"/>
    <mergeCell ref="A12:A13"/>
    <mergeCell ref="B12:B13"/>
    <mergeCell ref="C12:C13"/>
    <mergeCell ref="D12:D13"/>
    <mergeCell ref="E12:E13"/>
    <mergeCell ref="F12:K12"/>
    <mergeCell ref="A10:A11"/>
    <mergeCell ref="B10:B11"/>
    <mergeCell ref="C10:C11"/>
    <mergeCell ref="D10:D11"/>
    <mergeCell ref="E10:E11"/>
    <mergeCell ref="F10:K10"/>
    <mergeCell ref="A8:A9"/>
    <mergeCell ref="B8:B9"/>
    <mergeCell ref="C8:C9"/>
    <mergeCell ref="D8:D9"/>
    <mergeCell ref="E8:E9"/>
    <mergeCell ref="F8:K8"/>
    <mergeCell ref="A19:L19"/>
    <mergeCell ref="A20:A21"/>
    <mergeCell ref="B20:B21"/>
    <mergeCell ref="C20:C21"/>
    <mergeCell ref="D20:D21"/>
    <mergeCell ref="E20:E21"/>
    <mergeCell ref="F20:K20"/>
    <mergeCell ref="A17:A18"/>
    <mergeCell ref="B17:B18"/>
    <mergeCell ref="C17:C18"/>
    <mergeCell ref="D17:D18"/>
    <mergeCell ref="E17:E18"/>
    <mergeCell ref="F17:K17"/>
    <mergeCell ref="A14:L14"/>
    <mergeCell ref="A15:A16"/>
    <mergeCell ref="B15:B16"/>
    <mergeCell ref="C15:C16"/>
    <mergeCell ref="D15:D16"/>
    <mergeCell ref="E15:E16"/>
    <mergeCell ref="F15:K15"/>
    <mergeCell ref="A27:A28"/>
    <mergeCell ref="B27:B28"/>
    <mergeCell ref="C27:C28"/>
    <mergeCell ref="D27:D28"/>
    <mergeCell ref="E27:E28"/>
    <mergeCell ref="F27:K27"/>
    <mergeCell ref="A25:A26"/>
    <mergeCell ref="B25:B26"/>
    <mergeCell ref="C25:C26"/>
    <mergeCell ref="D25:D26"/>
    <mergeCell ref="E25:E26"/>
    <mergeCell ref="F25:K25"/>
    <mergeCell ref="A22:L22"/>
    <mergeCell ref="A23:A24"/>
    <mergeCell ref="B23:B24"/>
    <mergeCell ref="C23:C24"/>
    <mergeCell ref="D23:D24"/>
    <mergeCell ref="E23:E24"/>
    <mergeCell ref="F23:K23"/>
    <mergeCell ref="A33:A34"/>
    <mergeCell ref="B33:B34"/>
    <mergeCell ref="C33:C34"/>
    <mergeCell ref="D33:D34"/>
    <mergeCell ref="E33:E34"/>
    <mergeCell ref="F33:K33"/>
    <mergeCell ref="A31:A32"/>
    <mergeCell ref="B31:B32"/>
    <mergeCell ref="C31:C32"/>
    <mergeCell ref="D31:D32"/>
    <mergeCell ref="E31:E32"/>
    <mergeCell ref="F31:K31"/>
    <mergeCell ref="A29:A30"/>
    <mergeCell ref="B29:B30"/>
    <mergeCell ref="C29:C30"/>
    <mergeCell ref="D29:D30"/>
    <mergeCell ref="E29:E30"/>
    <mergeCell ref="F29:K29"/>
    <mergeCell ref="A39:A40"/>
    <mergeCell ref="B39:B40"/>
    <mergeCell ref="C39:C40"/>
    <mergeCell ref="D39:D40"/>
    <mergeCell ref="E39:E40"/>
    <mergeCell ref="F39:K39"/>
    <mergeCell ref="A37:A38"/>
    <mergeCell ref="B37:B38"/>
    <mergeCell ref="C37:C38"/>
    <mergeCell ref="D37:D38"/>
    <mergeCell ref="E37:E38"/>
    <mergeCell ref="F37:K37"/>
    <mergeCell ref="A35:A36"/>
    <mergeCell ref="B35:B36"/>
    <mergeCell ref="C35:C36"/>
    <mergeCell ref="D35:D36"/>
    <mergeCell ref="E35:E36"/>
    <mergeCell ref="F35:K35"/>
    <mergeCell ref="A45:A46"/>
    <mergeCell ref="B45:B46"/>
    <mergeCell ref="C45:C46"/>
    <mergeCell ref="D45:D46"/>
    <mergeCell ref="E45:E46"/>
    <mergeCell ref="F45:K45"/>
    <mergeCell ref="A43:A44"/>
    <mergeCell ref="B43:B44"/>
    <mergeCell ref="C43:C44"/>
    <mergeCell ref="D43:D44"/>
    <mergeCell ref="E43:E44"/>
    <mergeCell ref="F43:K43"/>
    <mergeCell ref="A41:A42"/>
    <mergeCell ref="B41:B42"/>
    <mergeCell ref="C41:C42"/>
    <mergeCell ref="D41:D42"/>
    <mergeCell ref="E41:E42"/>
    <mergeCell ref="F41:K41"/>
    <mergeCell ref="A51:A52"/>
    <mergeCell ref="B51:B52"/>
    <mergeCell ref="C51:C52"/>
    <mergeCell ref="D51:D52"/>
    <mergeCell ref="E51:E52"/>
    <mergeCell ref="F51:K51"/>
    <mergeCell ref="A49:A50"/>
    <mergeCell ref="B49:B50"/>
    <mergeCell ref="C49:C50"/>
    <mergeCell ref="D49:D50"/>
    <mergeCell ref="E49:E50"/>
    <mergeCell ref="F49:K49"/>
    <mergeCell ref="A47:A48"/>
    <mergeCell ref="B47:B48"/>
    <mergeCell ref="C47:C48"/>
    <mergeCell ref="D47:D48"/>
    <mergeCell ref="E47:E48"/>
    <mergeCell ref="F47:K47"/>
    <mergeCell ref="A57:A58"/>
    <mergeCell ref="B57:B58"/>
    <mergeCell ref="C57:C58"/>
    <mergeCell ref="D57:D58"/>
    <mergeCell ref="E57:E58"/>
    <mergeCell ref="F57:K57"/>
    <mergeCell ref="A55:A56"/>
    <mergeCell ref="B55:B56"/>
    <mergeCell ref="C55:C56"/>
    <mergeCell ref="D55:D56"/>
    <mergeCell ref="E55:E56"/>
    <mergeCell ref="F55:K55"/>
    <mergeCell ref="A53:A54"/>
    <mergeCell ref="B53:B54"/>
    <mergeCell ref="C53:C54"/>
    <mergeCell ref="D53:D54"/>
    <mergeCell ref="E53:E54"/>
    <mergeCell ref="F53:K53"/>
    <mergeCell ref="A63:A64"/>
    <mergeCell ref="B63:B64"/>
    <mergeCell ref="C63:C64"/>
    <mergeCell ref="D63:D64"/>
    <mergeCell ref="E63:E64"/>
    <mergeCell ref="F63:K63"/>
    <mergeCell ref="A61:A62"/>
    <mergeCell ref="B61:B62"/>
    <mergeCell ref="C61:C62"/>
    <mergeCell ref="D61:D62"/>
    <mergeCell ref="E61:E62"/>
    <mergeCell ref="F61:K61"/>
    <mergeCell ref="A59:A60"/>
    <mergeCell ref="B59:B60"/>
    <mergeCell ref="C59:C60"/>
    <mergeCell ref="D59:D60"/>
    <mergeCell ref="E59:E60"/>
    <mergeCell ref="F59:K59"/>
    <mergeCell ref="A69:A70"/>
    <mergeCell ref="B69:B70"/>
    <mergeCell ref="C69:C70"/>
    <mergeCell ref="D69:D70"/>
    <mergeCell ref="E69:E70"/>
    <mergeCell ref="F69:K69"/>
    <mergeCell ref="A67:A68"/>
    <mergeCell ref="B67:B68"/>
    <mergeCell ref="C67:C68"/>
    <mergeCell ref="D67:D68"/>
    <mergeCell ref="E67:E68"/>
    <mergeCell ref="F67:K67"/>
    <mergeCell ref="A65:A66"/>
    <mergeCell ref="B65:B66"/>
    <mergeCell ref="C65:C66"/>
    <mergeCell ref="D65:D66"/>
    <mergeCell ref="E65:E66"/>
    <mergeCell ref="F65:K65"/>
    <mergeCell ref="A75:A76"/>
    <mergeCell ref="B75:B76"/>
    <mergeCell ref="C75:C76"/>
    <mergeCell ref="D75:D76"/>
    <mergeCell ref="E75:E76"/>
    <mergeCell ref="F75:K75"/>
    <mergeCell ref="A73:A74"/>
    <mergeCell ref="B73:B74"/>
    <mergeCell ref="C73:C74"/>
    <mergeCell ref="D73:D74"/>
    <mergeCell ref="E73:E74"/>
    <mergeCell ref="F73:K73"/>
    <mergeCell ref="A71:A72"/>
    <mergeCell ref="B71:B72"/>
    <mergeCell ref="C71:C72"/>
    <mergeCell ref="D71:D72"/>
    <mergeCell ref="E71:E72"/>
    <mergeCell ref="F71:K71"/>
    <mergeCell ref="A81:A82"/>
    <mergeCell ref="B81:B82"/>
    <mergeCell ref="C81:C82"/>
    <mergeCell ref="D81:D82"/>
    <mergeCell ref="E81:E82"/>
    <mergeCell ref="F81:K81"/>
    <mergeCell ref="A79:A80"/>
    <mergeCell ref="B79:B80"/>
    <mergeCell ref="C79:C80"/>
    <mergeCell ref="D79:D80"/>
    <mergeCell ref="E79:E80"/>
    <mergeCell ref="F79:K79"/>
    <mergeCell ref="A77:A78"/>
    <mergeCell ref="B77:B78"/>
    <mergeCell ref="C77:C78"/>
    <mergeCell ref="D77:D78"/>
    <mergeCell ref="E77:E78"/>
    <mergeCell ref="F77:K77"/>
    <mergeCell ref="A87:A88"/>
    <mergeCell ref="B87:B88"/>
    <mergeCell ref="C87:C88"/>
    <mergeCell ref="D87:D88"/>
    <mergeCell ref="E87:E88"/>
    <mergeCell ref="F87:K87"/>
    <mergeCell ref="A85:A86"/>
    <mergeCell ref="B85:B86"/>
    <mergeCell ref="C85:C86"/>
    <mergeCell ref="D85:D86"/>
    <mergeCell ref="E85:E86"/>
    <mergeCell ref="F85:K85"/>
    <mergeCell ref="A83:A84"/>
    <mergeCell ref="B83:B84"/>
    <mergeCell ref="C83:C84"/>
    <mergeCell ref="D83:D84"/>
    <mergeCell ref="E83:E84"/>
    <mergeCell ref="F83:K83"/>
    <mergeCell ref="A93:A94"/>
    <mergeCell ref="B93:B94"/>
    <mergeCell ref="C93:C94"/>
    <mergeCell ref="D93:D94"/>
    <mergeCell ref="E93:E94"/>
    <mergeCell ref="F93:K93"/>
    <mergeCell ref="A91:A92"/>
    <mergeCell ref="B91:B92"/>
    <mergeCell ref="C91:C92"/>
    <mergeCell ref="D91:D92"/>
    <mergeCell ref="E91:E92"/>
    <mergeCell ref="F91:K91"/>
    <mergeCell ref="A89:A90"/>
    <mergeCell ref="B89:B90"/>
    <mergeCell ref="C89:C90"/>
    <mergeCell ref="D89:D90"/>
    <mergeCell ref="E89:E90"/>
    <mergeCell ref="F89:K89"/>
    <mergeCell ref="A99:A100"/>
    <mergeCell ref="B99:B100"/>
    <mergeCell ref="C99:C100"/>
    <mergeCell ref="D99:D100"/>
    <mergeCell ref="E99:E100"/>
    <mergeCell ref="F99:K99"/>
    <mergeCell ref="A97:A98"/>
    <mergeCell ref="B97:B98"/>
    <mergeCell ref="C97:C98"/>
    <mergeCell ref="D97:D98"/>
    <mergeCell ref="E97:E98"/>
    <mergeCell ref="F97:K97"/>
    <mergeCell ref="A95:A96"/>
    <mergeCell ref="B95:B96"/>
    <mergeCell ref="C95:C96"/>
    <mergeCell ref="D95:D96"/>
    <mergeCell ref="E95:E96"/>
    <mergeCell ref="F95:K95"/>
    <mergeCell ref="A105:A106"/>
    <mergeCell ref="B105:B106"/>
    <mergeCell ref="C105:C106"/>
    <mergeCell ref="D105:D106"/>
    <mergeCell ref="E105:E106"/>
    <mergeCell ref="F105:K105"/>
    <mergeCell ref="A103:A104"/>
    <mergeCell ref="B103:B104"/>
    <mergeCell ref="C103:C104"/>
    <mergeCell ref="D103:D104"/>
    <mergeCell ref="E103:E104"/>
    <mergeCell ref="F103:K103"/>
    <mergeCell ref="A101:A102"/>
    <mergeCell ref="B101:B102"/>
    <mergeCell ref="C101:C102"/>
    <mergeCell ref="D101:D102"/>
    <mergeCell ref="E101:E102"/>
    <mergeCell ref="F101:K101"/>
    <mergeCell ref="A111:A112"/>
    <mergeCell ref="B111:B112"/>
    <mergeCell ref="C111:C112"/>
    <mergeCell ref="D111:D112"/>
    <mergeCell ref="E111:E112"/>
    <mergeCell ref="F111:K111"/>
    <mergeCell ref="A109:A110"/>
    <mergeCell ref="B109:B110"/>
    <mergeCell ref="C109:C110"/>
    <mergeCell ref="D109:D110"/>
    <mergeCell ref="E109:E110"/>
    <mergeCell ref="F109:K109"/>
    <mergeCell ref="A107:A108"/>
    <mergeCell ref="B107:B108"/>
    <mergeCell ref="C107:C108"/>
    <mergeCell ref="D107:D108"/>
    <mergeCell ref="E107:E108"/>
    <mergeCell ref="F107:K107"/>
    <mergeCell ref="A118:A119"/>
    <mergeCell ref="B118:B119"/>
    <mergeCell ref="C118:C119"/>
    <mergeCell ref="D118:D119"/>
    <mergeCell ref="E118:E119"/>
    <mergeCell ref="F118:K118"/>
    <mergeCell ref="A115:L115"/>
    <mergeCell ref="A116:A117"/>
    <mergeCell ref="B116:B117"/>
    <mergeCell ref="C116:C117"/>
    <mergeCell ref="D116:D117"/>
    <mergeCell ref="E116:E117"/>
    <mergeCell ref="F116:K116"/>
    <mergeCell ref="A113:A114"/>
    <mergeCell ref="B113:B114"/>
    <mergeCell ref="C113:C114"/>
    <mergeCell ref="D113:D114"/>
    <mergeCell ref="E113:E114"/>
    <mergeCell ref="F113:K113"/>
    <mergeCell ref="A124:A125"/>
    <mergeCell ref="B124:B125"/>
    <mergeCell ref="C124:C125"/>
    <mergeCell ref="D124:D125"/>
    <mergeCell ref="E124:E125"/>
    <mergeCell ref="F124:K124"/>
    <mergeCell ref="A122:A123"/>
    <mergeCell ref="B122:B123"/>
    <mergeCell ref="C122:C123"/>
    <mergeCell ref="D122:D123"/>
    <mergeCell ref="E122:E123"/>
    <mergeCell ref="F122:K122"/>
    <mergeCell ref="A120:A121"/>
    <mergeCell ref="B120:B121"/>
    <mergeCell ref="C120:C121"/>
    <mergeCell ref="D120:D121"/>
    <mergeCell ref="E120:E121"/>
    <mergeCell ref="F120:K120"/>
    <mergeCell ref="A130:L130"/>
    <mergeCell ref="A131:A132"/>
    <mergeCell ref="B131:B132"/>
    <mergeCell ref="C131:C132"/>
    <mergeCell ref="D131:D132"/>
    <mergeCell ref="E131:E132"/>
    <mergeCell ref="F131:K131"/>
    <mergeCell ref="A128:A129"/>
    <mergeCell ref="B128:B129"/>
    <mergeCell ref="C128:C129"/>
    <mergeCell ref="D128:D129"/>
    <mergeCell ref="E128:E129"/>
    <mergeCell ref="F128:K128"/>
    <mergeCell ref="A126:A127"/>
    <mergeCell ref="B126:B127"/>
    <mergeCell ref="C126:C127"/>
    <mergeCell ref="D126:D127"/>
    <mergeCell ref="E126:E127"/>
    <mergeCell ref="F126:K126"/>
    <mergeCell ref="A137:A138"/>
    <mergeCell ref="B137:B138"/>
    <mergeCell ref="C137:C138"/>
    <mergeCell ref="D137:D138"/>
    <mergeCell ref="E137:E138"/>
    <mergeCell ref="F137:K137"/>
    <mergeCell ref="A135:A136"/>
    <mergeCell ref="B135:B136"/>
    <mergeCell ref="C135:C136"/>
    <mergeCell ref="D135:D136"/>
    <mergeCell ref="E135:E136"/>
    <mergeCell ref="F135:K135"/>
    <mergeCell ref="A133:A134"/>
    <mergeCell ref="B133:B134"/>
    <mergeCell ref="C133:C134"/>
    <mergeCell ref="D133:D134"/>
    <mergeCell ref="E133:E134"/>
    <mergeCell ref="F133:K133"/>
    <mergeCell ref="A143:A144"/>
    <mergeCell ref="B143:B144"/>
    <mergeCell ref="C143:C144"/>
    <mergeCell ref="D143:D144"/>
    <mergeCell ref="E143:E144"/>
    <mergeCell ref="F143:K143"/>
    <mergeCell ref="A141:A142"/>
    <mergeCell ref="B141:B142"/>
    <mergeCell ref="C141:C142"/>
    <mergeCell ref="D141:D142"/>
    <mergeCell ref="E141:E142"/>
    <mergeCell ref="F141:K141"/>
    <mergeCell ref="A139:A140"/>
    <mergeCell ref="B139:B140"/>
    <mergeCell ref="C139:C140"/>
    <mergeCell ref="D139:D140"/>
    <mergeCell ref="E139:E140"/>
    <mergeCell ref="F139:K139"/>
    <mergeCell ref="A149:A150"/>
    <mergeCell ref="B149:B150"/>
    <mergeCell ref="C149:C150"/>
    <mergeCell ref="D149:D150"/>
    <mergeCell ref="E149:E150"/>
    <mergeCell ref="F149:K149"/>
    <mergeCell ref="A147:A148"/>
    <mergeCell ref="B147:B148"/>
    <mergeCell ref="C147:C148"/>
    <mergeCell ref="D147:D148"/>
    <mergeCell ref="E147:E148"/>
    <mergeCell ref="F147:K147"/>
    <mergeCell ref="A145:A146"/>
    <mergeCell ref="B145:B146"/>
    <mergeCell ref="C145:C146"/>
    <mergeCell ref="D145:D146"/>
    <mergeCell ref="E145:E146"/>
    <mergeCell ref="F145:K145"/>
    <mergeCell ref="A155:A156"/>
    <mergeCell ref="B155:B156"/>
    <mergeCell ref="C155:C156"/>
    <mergeCell ref="D155:D156"/>
    <mergeCell ref="E155:E156"/>
    <mergeCell ref="F155:K155"/>
    <mergeCell ref="A153:A154"/>
    <mergeCell ref="B153:B154"/>
    <mergeCell ref="C153:C154"/>
    <mergeCell ref="D153:D154"/>
    <mergeCell ref="E153:E154"/>
    <mergeCell ref="F153:K153"/>
    <mergeCell ref="A151:A152"/>
    <mergeCell ref="B151:B152"/>
    <mergeCell ref="C151:C152"/>
    <mergeCell ref="D151:D152"/>
    <mergeCell ref="E151:E152"/>
    <mergeCell ref="F151:K151"/>
    <mergeCell ref="A161:A162"/>
    <mergeCell ref="B161:B162"/>
    <mergeCell ref="C161:C162"/>
    <mergeCell ref="D161:D162"/>
    <mergeCell ref="E161:E162"/>
    <mergeCell ref="F161:K161"/>
    <mergeCell ref="A159:A160"/>
    <mergeCell ref="B159:B160"/>
    <mergeCell ref="C159:C160"/>
    <mergeCell ref="D159:D160"/>
    <mergeCell ref="E159:E160"/>
    <mergeCell ref="F159:K159"/>
    <mergeCell ref="A157:A158"/>
    <mergeCell ref="B157:B158"/>
    <mergeCell ref="C157:C158"/>
    <mergeCell ref="D157:D158"/>
    <mergeCell ref="E157:E158"/>
    <mergeCell ref="F157:K157"/>
    <mergeCell ref="A167:A168"/>
    <mergeCell ref="B167:B168"/>
    <mergeCell ref="C167:C168"/>
    <mergeCell ref="D167:D168"/>
    <mergeCell ref="E167:E168"/>
    <mergeCell ref="F167:K167"/>
    <mergeCell ref="A165:A166"/>
    <mergeCell ref="B165:B166"/>
    <mergeCell ref="C165:C166"/>
    <mergeCell ref="D165:D166"/>
    <mergeCell ref="E165:E166"/>
    <mergeCell ref="F165:K165"/>
    <mergeCell ref="A163:A164"/>
    <mergeCell ref="B163:B164"/>
    <mergeCell ref="C163:C164"/>
    <mergeCell ref="D163:D164"/>
    <mergeCell ref="E163:E164"/>
    <mergeCell ref="F163:K163"/>
    <mergeCell ref="A173:A174"/>
    <mergeCell ref="B173:B174"/>
    <mergeCell ref="C173:C174"/>
    <mergeCell ref="D173:D174"/>
    <mergeCell ref="E173:E174"/>
    <mergeCell ref="F173:K173"/>
    <mergeCell ref="A171:A172"/>
    <mergeCell ref="B171:B172"/>
    <mergeCell ref="C171:C172"/>
    <mergeCell ref="D171:D172"/>
    <mergeCell ref="E171:E172"/>
    <mergeCell ref="F171:K171"/>
    <mergeCell ref="A169:A170"/>
    <mergeCell ref="B169:B170"/>
    <mergeCell ref="C169:C170"/>
    <mergeCell ref="D169:D170"/>
    <mergeCell ref="E169:E170"/>
    <mergeCell ref="F169:K169"/>
    <mergeCell ref="A179:A180"/>
    <mergeCell ref="B179:B180"/>
    <mergeCell ref="C179:C180"/>
    <mergeCell ref="D179:D180"/>
    <mergeCell ref="E179:E180"/>
    <mergeCell ref="F179:K179"/>
    <mergeCell ref="A177:A178"/>
    <mergeCell ref="B177:B178"/>
    <mergeCell ref="C177:C178"/>
    <mergeCell ref="D177:D178"/>
    <mergeCell ref="E177:E178"/>
    <mergeCell ref="F177:K177"/>
    <mergeCell ref="A175:A176"/>
    <mergeCell ref="B175:B176"/>
    <mergeCell ref="C175:C176"/>
    <mergeCell ref="D175:D176"/>
    <mergeCell ref="E175:E176"/>
    <mergeCell ref="F175:K175"/>
    <mergeCell ref="A185:A186"/>
    <mergeCell ref="B185:B186"/>
    <mergeCell ref="C185:C186"/>
    <mergeCell ref="D185:D186"/>
    <mergeCell ref="E185:E186"/>
    <mergeCell ref="F185:K185"/>
    <mergeCell ref="A183:A184"/>
    <mergeCell ref="B183:B184"/>
    <mergeCell ref="C183:C184"/>
    <mergeCell ref="D183:D184"/>
    <mergeCell ref="E183:E184"/>
    <mergeCell ref="F183:K183"/>
    <mergeCell ref="A181:A182"/>
    <mergeCell ref="B181:B182"/>
    <mergeCell ref="C181:C182"/>
    <mergeCell ref="D181:D182"/>
    <mergeCell ref="E181:E182"/>
    <mergeCell ref="F181:K181"/>
    <mergeCell ref="A191:A192"/>
    <mergeCell ref="B191:B192"/>
    <mergeCell ref="C191:C192"/>
    <mergeCell ref="D191:D192"/>
    <mergeCell ref="E191:E192"/>
    <mergeCell ref="F191:K191"/>
    <mergeCell ref="A189:A190"/>
    <mergeCell ref="B189:B190"/>
    <mergeCell ref="C189:C190"/>
    <mergeCell ref="D189:D190"/>
    <mergeCell ref="E189:E190"/>
    <mergeCell ref="F189:K189"/>
    <mergeCell ref="A187:A188"/>
    <mergeCell ref="B187:B188"/>
    <mergeCell ref="C187:C188"/>
    <mergeCell ref="D187:D188"/>
    <mergeCell ref="E187:E188"/>
    <mergeCell ref="F187:K187"/>
    <mergeCell ref="A197:A198"/>
    <mergeCell ref="B197:B198"/>
    <mergeCell ref="C197:C198"/>
    <mergeCell ref="D197:D198"/>
    <mergeCell ref="E197:E198"/>
    <mergeCell ref="F197:K197"/>
    <mergeCell ref="A195:A196"/>
    <mergeCell ref="B195:B196"/>
    <mergeCell ref="C195:C196"/>
    <mergeCell ref="D195:D196"/>
    <mergeCell ref="E195:E196"/>
    <mergeCell ref="F195:K195"/>
    <mergeCell ref="A193:A194"/>
    <mergeCell ref="B193:B194"/>
    <mergeCell ref="C193:C194"/>
    <mergeCell ref="D193:D194"/>
    <mergeCell ref="E193:E194"/>
    <mergeCell ref="F193:K193"/>
    <mergeCell ref="A203:A204"/>
    <mergeCell ref="B203:B204"/>
    <mergeCell ref="C203:C204"/>
    <mergeCell ref="D203:D204"/>
    <mergeCell ref="E203:E204"/>
    <mergeCell ref="F203:K203"/>
    <mergeCell ref="A201:A202"/>
    <mergeCell ref="B201:B202"/>
    <mergeCell ref="C201:C202"/>
    <mergeCell ref="D201:D202"/>
    <mergeCell ref="E201:E202"/>
    <mergeCell ref="F201:K201"/>
    <mergeCell ref="A199:A200"/>
    <mergeCell ref="B199:B200"/>
    <mergeCell ref="C199:C200"/>
    <mergeCell ref="D199:D200"/>
    <mergeCell ref="E199:E200"/>
    <mergeCell ref="F199:K199"/>
    <mergeCell ref="A209:A210"/>
    <mergeCell ref="B209:B210"/>
    <mergeCell ref="C209:C210"/>
    <mergeCell ref="D209:D210"/>
    <mergeCell ref="E209:E210"/>
    <mergeCell ref="F209:K209"/>
    <mergeCell ref="A207:A208"/>
    <mergeCell ref="B207:B208"/>
    <mergeCell ref="C207:C208"/>
    <mergeCell ref="D207:D208"/>
    <mergeCell ref="E207:E208"/>
    <mergeCell ref="F207:K207"/>
    <mergeCell ref="A205:A206"/>
    <mergeCell ref="B205:B206"/>
    <mergeCell ref="C205:C206"/>
    <mergeCell ref="D205:D206"/>
    <mergeCell ref="E205:E206"/>
    <mergeCell ref="F205:K205"/>
    <mergeCell ref="A215:A216"/>
    <mergeCell ref="B215:B216"/>
    <mergeCell ref="C215:C216"/>
    <mergeCell ref="D215:D216"/>
    <mergeCell ref="E215:E216"/>
    <mergeCell ref="F215:K215"/>
    <mergeCell ref="A213:A214"/>
    <mergeCell ref="B213:B214"/>
    <mergeCell ref="C213:C214"/>
    <mergeCell ref="D213:D214"/>
    <mergeCell ref="E213:E214"/>
    <mergeCell ref="F213:K213"/>
    <mergeCell ref="A211:A212"/>
    <mergeCell ref="B211:B212"/>
    <mergeCell ref="C211:C212"/>
    <mergeCell ref="D211:D212"/>
    <mergeCell ref="E211:E212"/>
    <mergeCell ref="F211:K211"/>
    <mergeCell ref="A221:A222"/>
    <mergeCell ref="B221:B222"/>
    <mergeCell ref="C221:C222"/>
    <mergeCell ref="D221:D222"/>
    <mergeCell ref="E221:E222"/>
    <mergeCell ref="F221:K221"/>
    <mergeCell ref="A219:A220"/>
    <mergeCell ref="B219:B220"/>
    <mergeCell ref="C219:C220"/>
    <mergeCell ref="D219:D220"/>
    <mergeCell ref="E219:E220"/>
    <mergeCell ref="F219:K219"/>
    <mergeCell ref="A217:A218"/>
    <mergeCell ref="B217:B218"/>
    <mergeCell ref="C217:C218"/>
    <mergeCell ref="D217:D218"/>
    <mergeCell ref="E217:E218"/>
    <mergeCell ref="F217:K217"/>
    <mergeCell ref="A227:A228"/>
    <mergeCell ref="B227:B228"/>
    <mergeCell ref="C227:C228"/>
    <mergeCell ref="D227:D228"/>
    <mergeCell ref="E227:E228"/>
    <mergeCell ref="F227:K227"/>
    <mergeCell ref="A225:A226"/>
    <mergeCell ref="B225:B226"/>
    <mergeCell ref="C225:C226"/>
    <mergeCell ref="D225:D226"/>
    <mergeCell ref="E225:E226"/>
    <mergeCell ref="F225:K225"/>
    <mergeCell ref="A223:A224"/>
    <mergeCell ref="B223:B224"/>
    <mergeCell ref="C223:C224"/>
    <mergeCell ref="D223:D224"/>
    <mergeCell ref="E223:E224"/>
    <mergeCell ref="F223:K223"/>
    <mergeCell ref="A233:A234"/>
    <mergeCell ref="B233:B234"/>
    <mergeCell ref="C233:C234"/>
    <mergeCell ref="D233:D234"/>
    <mergeCell ref="E233:E234"/>
    <mergeCell ref="F233:K233"/>
    <mergeCell ref="A231:A232"/>
    <mergeCell ref="B231:B232"/>
    <mergeCell ref="C231:C232"/>
    <mergeCell ref="D231:D232"/>
    <mergeCell ref="E231:E232"/>
    <mergeCell ref="F231:K231"/>
    <mergeCell ref="A229:A230"/>
    <mergeCell ref="B229:B230"/>
    <mergeCell ref="C229:C230"/>
    <mergeCell ref="D229:D230"/>
    <mergeCell ref="E229:E230"/>
    <mergeCell ref="F229:K229"/>
    <mergeCell ref="A240:A241"/>
    <mergeCell ref="B240:B241"/>
    <mergeCell ref="C240:C241"/>
    <mergeCell ref="D240:D241"/>
    <mergeCell ref="E240:E241"/>
    <mergeCell ref="F240:K240"/>
    <mergeCell ref="A237:L237"/>
    <mergeCell ref="A238:A239"/>
    <mergeCell ref="B238:B239"/>
    <mergeCell ref="C238:C239"/>
    <mergeCell ref="D238:D239"/>
    <mergeCell ref="E238:E239"/>
    <mergeCell ref="F238:K238"/>
    <mergeCell ref="A235:A236"/>
    <mergeCell ref="B235:B236"/>
    <mergeCell ref="C235:C236"/>
    <mergeCell ref="D235:D236"/>
    <mergeCell ref="E235:E236"/>
    <mergeCell ref="F235:K235"/>
    <mergeCell ref="A246:A247"/>
    <mergeCell ref="B246:B247"/>
    <mergeCell ref="C246:C247"/>
    <mergeCell ref="D246:D247"/>
    <mergeCell ref="E246:E247"/>
    <mergeCell ref="F246:K246"/>
    <mergeCell ref="A244:A245"/>
    <mergeCell ref="B244:B245"/>
    <mergeCell ref="C244:C245"/>
    <mergeCell ref="D244:D245"/>
    <mergeCell ref="E244:E245"/>
    <mergeCell ref="F244:K244"/>
    <mergeCell ref="A242:A243"/>
    <mergeCell ref="B242:B243"/>
    <mergeCell ref="C242:C243"/>
    <mergeCell ref="D242:D243"/>
    <mergeCell ref="E242:E243"/>
    <mergeCell ref="F242:K242"/>
    <mergeCell ref="A252:A253"/>
    <mergeCell ref="B252:B253"/>
    <mergeCell ref="C252:C253"/>
    <mergeCell ref="D252:D253"/>
    <mergeCell ref="E252:E253"/>
    <mergeCell ref="F252:K252"/>
    <mergeCell ref="A250:A251"/>
    <mergeCell ref="B250:B251"/>
    <mergeCell ref="C250:C251"/>
    <mergeCell ref="D250:D251"/>
    <mergeCell ref="E250:E251"/>
    <mergeCell ref="F250:K250"/>
    <mergeCell ref="A248:A249"/>
    <mergeCell ref="B248:B249"/>
    <mergeCell ref="C248:C249"/>
    <mergeCell ref="D248:D249"/>
    <mergeCell ref="E248:E249"/>
    <mergeCell ref="F248:K248"/>
    <mergeCell ref="A258:A259"/>
    <mergeCell ref="B258:B259"/>
    <mergeCell ref="C258:C259"/>
    <mergeCell ref="D258:D259"/>
    <mergeCell ref="E258:E259"/>
    <mergeCell ref="F258:K258"/>
    <mergeCell ref="A256:A257"/>
    <mergeCell ref="B256:B257"/>
    <mergeCell ref="C256:C257"/>
    <mergeCell ref="D256:D257"/>
    <mergeCell ref="E256:E257"/>
    <mergeCell ref="F256:K256"/>
    <mergeCell ref="A254:A255"/>
    <mergeCell ref="B254:B255"/>
    <mergeCell ref="C254:C255"/>
    <mergeCell ref="D254:D255"/>
    <mergeCell ref="E254:E255"/>
    <mergeCell ref="F254:K254"/>
    <mergeCell ref="A265:A266"/>
    <mergeCell ref="B265:B266"/>
    <mergeCell ref="C265:C266"/>
    <mergeCell ref="D265:D266"/>
    <mergeCell ref="E265:E266"/>
    <mergeCell ref="F265:K265"/>
    <mergeCell ref="A262:L262"/>
    <mergeCell ref="A263:A264"/>
    <mergeCell ref="B263:B264"/>
    <mergeCell ref="C263:C264"/>
    <mergeCell ref="D263:D264"/>
    <mergeCell ref="E263:E264"/>
    <mergeCell ref="F263:K263"/>
    <mergeCell ref="A260:A261"/>
    <mergeCell ref="B260:B261"/>
    <mergeCell ref="C260:C261"/>
    <mergeCell ref="D260:D261"/>
    <mergeCell ref="E260:E261"/>
    <mergeCell ref="F260:K260"/>
    <mergeCell ref="A271:A272"/>
    <mergeCell ref="B271:B272"/>
    <mergeCell ref="C271:C272"/>
    <mergeCell ref="D271:D272"/>
    <mergeCell ref="E271:E272"/>
    <mergeCell ref="F271:K271"/>
    <mergeCell ref="A269:A270"/>
    <mergeCell ref="B269:B270"/>
    <mergeCell ref="C269:C270"/>
    <mergeCell ref="D269:D270"/>
    <mergeCell ref="E269:E270"/>
    <mergeCell ref="F269:K269"/>
    <mergeCell ref="A267:A268"/>
    <mergeCell ref="B267:B268"/>
    <mergeCell ref="C267:C268"/>
    <mergeCell ref="D267:D268"/>
    <mergeCell ref="E267:E268"/>
    <mergeCell ref="F267:K267"/>
    <mergeCell ref="A277:A278"/>
    <mergeCell ref="B277:B278"/>
    <mergeCell ref="C277:C278"/>
    <mergeCell ref="D277:D278"/>
    <mergeCell ref="E277:E278"/>
    <mergeCell ref="F277:K277"/>
    <mergeCell ref="A275:A276"/>
    <mergeCell ref="B275:B276"/>
    <mergeCell ref="C275:C276"/>
    <mergeCell ref="D275:D276"/>
    <mergeCell ref="E275:E276"/>
    <mergeCell ref="F275:K275"/>
    <mergeCell ref="A273:A274"/>
    <mergeCell ref="B273:B274"/>
    <mergeCell ref="C273:C274"/>
    <mergeCell ref="D273:D274"/>
    <mergeCell ref="E273:E274"/>
    <mergeCell ref="F273:K273"/>
    <mergeCell ref="A283:A284"/>
    <mergeCell ref="B283:B284"/>
    <mergeCell ref="C283:C284"/>
    <mergeCell ref="D283:D284"/>
    <mergeCell ref="E283:E284"/>
    <mergeCell ref="F283:K283"/>
    <mergeCell ref="A281:A282"/>
    <mergeCell ref="B281:B282"/>
    <mergeCell ref="C281:C282"/>
    <mergeCell ref="D281:D282"/>
    <mergeCell ref="E281:E282"/>
    <mergeCell ref="F281:K281"/>
    <mergeCell ref="A279:A280"/>
    <mergeCell ref="B279:B280"/>
    <mergeCell ref="C279:C280"/>
    <mergeCell ref="D279:D280"/>
    <mergeCell ref="E279:E280"/>
    <mergeCell ref="F279:K279"/>
    <mergeCell ref="A289:A290"/>
    <mergeCell ref="B289:B290"/>
    <mergeCell ref="C289:C290"/>
    <mergeCell ref="D289:D290"/>
    <mergeCell ref="E289:E290"/>
    <mergeCell ref="F289:K289"/>
    <mergeCell ref="A287:A288"/>
    <mergeCell ref="B287:B288"/>
    <mergeCell ref="C287:C288"/>
    <mergeCell ref="D287:D288"/>
    <mergeCell ref="E287:E288"/>
    <mergeCell ref="F287:K287"/>
    <mergeCell ref="A285:A286"/>
    <mergeCell ref="B285:B286"/>
    <mergeCell ref="C285:C286"/>
    <mergeCell ref="D285:D286"/>
    <mergeCell ref="E285:E286"/>
    <mergeCell ref="F285:K285"/>
    <mergeCell ref="A295:A296"/>
    <mergeCell ref="B295:B296"/>
    <mergeCell ref="C295:C296"/>
    <mergeCell ref="D295:D296"/>
    <mergeCell ref="E295:E296"/>
    <mergeCell ref="F295:K295"/>
    <mergeCell ref="A293:A294"/>
    <mergeCell ref="B293:B294"/>
    <mergeCell ref="C293:C294"/>
    <mergeCell ref="D293:D294"/>
    <mergeCell ref="E293:E294"/>
    <mergeCell ref="F293:K293"/>
    <mergeCell ref="A291:A292"/>
    <mergeCell ref="B291:B292"/>
    <mergeCell ref="C291:C292"/>
    <mergeCell ref="D291:D292"/>
    <mergeCell ref="E291:E292"/>
    <mergeCell ref="F291:K291"/>
    <mergeCell ref="A301:A302"/>
    <mergeCell ref="B301:B302"/>
    <mergeCell ref="C301:C302"/>
    <mergeCell ref="D301:D302"/>
    <mergeCell ref="E301:E302"/>
    <mergeCell ref="F301:K301"/>
    <mergeCell ref="A299:A300"/>
    <mergeCell ref="B299:B300"/>
    <mergeCell ref="C299:C300"/>
    <mergeCell ref="D299:D300"/>
    <mergeCell ref="E299:E300"/>
    <mergeCell ref="F299:K299"/>
    <mergeCell ref="A297:A298"/>
    <mergeCell ref="B297:B298"/>
    <mergeCell ref="C297:C298"/>
    <mergeCell ref="D297:D298"/>
    <mergeCell ref="E297:E298"/>
    <mergeCell ref="F297:K297"/>
    <mergeCell ref="A307:A308"/>
    <mergeCell ref="B307:B308"/>
    <mergeCell ref="C307:C308"/>
    <mergeCell ref="D307:D308"/>
    <mergeCell ref="E307:E308"/>
    <mergeCell ref="F307:K307"/>
    <mergeCell ref="A305:A306"/>
    <mergeCell ref="B305:B306"/>
    <mergeCell ref="C305:C306"/>
    <mergeCell ref="D305:D306"/>
    <mergeCell ref="E305:E306"/>
    <mergeCell ref="F305:K305"/>
    <mergeCell ref="A303:A304"/>
    <mergeCell ref="B303:B304"/>
    <mergeCell ref="C303:C304"/>
    <mergeCell ref="D303:D304"/>
    <mergeCell ref="E303:E304"/>
    <mergeCell ref="F303:K303"/>
    <mergeCell ref="A313:A314"/>
    <mergeCell ref="B313:B314"/>
    <mergeCell ref="C313:C314"/>
    <mergeCell ref="D313:D314"/>
    <mergeCell ref="E313:E314"/>
    <mergeCell ref="F313:K313"/>
    <mergeCell ref="A311:A312"/>
    <mergeCell ref="B311:B312"/>
    <mergeCell ref="C311:C312"/>
    <mergeCell ref="D311:D312"/>
    <mergeCell ref="E311:E312"/>
    <mergeCell ref="F311:K311"/>
    <mergeCell ref="A309:A310"/>
    <mergeCell ref="B309:B310"/>
    <mergeCell ref="C309:C310"/>
    <mergeCell ref="D309:D310"/>
    <mergeCell ref="E309:E310"/>
    <mergeCell ref="F309:K309"/>
    <mergeCell ref="A319:A320"/>
    <mergeCell ref="B319:B320"/>
    <mergeCell ref="C319:C320"/>
    <mergeCell ref="D319:D320"/>
    <mergeCell ref="E319:E320"/>
    <mergeCell ref="F319:K319"/>
    <mergeCell ref="A317:A318"/>
    <mergeCell ref="B317:B318"/>
    <mergeCell ref="C317:C318"/>
    <mergeCell ref="D317:D318"/>
    <mergeCell ref="E317:E318"/>
    <mergeCell ref="F317:K317"/>
    <mergeCell ref="A315:A316"/>
    <mergeCell ref="B315:B316"/>
    <mergeCell ref="C315:C316"/>
    <mergeCell ref="D315:D316"/>
    <mergeCell ref="E315:E316"/>
    <mergeCell ref="F315:K315"/>
    <mergeCell ref="A325:A326"/>
    <mergeCell ref="B325:B326"/>
    <mergeCell ref="C325:C326"/>
    <mergeCell ref="D325:D326"/>
    <mergeCell ref="E325:E326"/>
    <mergeCell ref="F325:K325"/>
    <mergeCell ref="A323:A324"/>
    <mergeCell ref="B323:B324"/>
    <mergeCell ref="C323:C324"/>
    <mergeCell ref="D323:D324"/>
    <mergeCell ref="E323:E324"/>
    <mergeCell ref="F323:K323"/>
    <mergeCell ref="A321:A322"/>
    <mergeCell ref="B321:B322"/>
    <mergeCell ref="C321:C322"/>
    <mergeCell ref="D321:D322"/>
    <mergeCell ref="E321:E322"/>
    <mergeCell ref="F321:K321"/>
    <mergeCell ref="A331:A332"/>
    <mergeCell ref="B331:B332"/>
    <mergeCell ref="C331:C332"/>
    <mergeCell ref="D331:D332"/>
    <mergeCell ref="E331:E332"/>
    <mergeCell ref="F331:K331"/>
    <mergeCell ref="A329:A330"/>
    <mergeCell ref="B329:B330"/>
    <mergeCell ref="C329:C330"/>
    <mergeCell ref="D329:D330"/>
    <mergeCell ref="E329:E330"/>
    <mergeCell ref="F329:K329"/>
    <mergeCell ref="A327:A328"/>
    <mergeCell ref="B327:B328"/>
    <mergeCell ref="C327:C328"/>
    <mergeCell ref="D327:D328"/>
    <mergeCell ref="E327:E328"/>
    <mergeCell ref="F327:K327"/>
    <mergeCell ref="A337:A338"/>
    <mergeCell ref="B337:B338"/>
    <mergeCell ref="C337:C338"/>
    <mergeCell ref="D337:D338"/>
    <mergeCell ref="E337:E338"/>
    <mergeCell ref="F337:K337"/>
    <mergeCell ref="A335:A336"/>
    <mergeCell ref="B335:B336"/>
    <mergeCell ref="C335:C336"/>
    <mergeCell ref="D335:D336"/>
    <mergeCell ref="E335:E336"/>
    <mergeCell ref="F335:K335"/>
    <mergeCell ref="A333:A334"/>
    <mergeCell ref="B333:B334"/>
    <mergeCell ref="C333:C334"/>
    <mergeCell ref="D333:D334"/>
    <mergeCell ref="E333:E334"/>
    <mergeCell ref="F333:K333"/>
    <mergeCell ref="A343:A344"/>
    <mergeCell ref="B343:B344"/>
    <mergeCell ref="C343:C344"/>
    <mergeCell ref="D343:D344"/>
    <mergeCell ref="E343:E344"/>
    <mergeCell ref="F343:K343"/>
    <mergeCell ref="A341:A342"/>
    <mergeCell ref="B341:B342"/>
    <mergeCell ref="C341:C342"/>
    <mergeCell ref="D341:D342"/>
    <mergeCell ref="E341:E342"/>
    <mergeCell ref="F341:K341"/>
    <mergeCell ref="A339:A340"/>
    <mergeCell ref="B339:B340"/>
    <mergeCell ref="C339:C340"/>
    <mergeCell ref="D339:D340"/>
    <mergeCell ref="E339:E340"/>
    <mergeCell ref="F339:K339"/>
    <mergeCell ref="A349:A350"/>
    <mergeCell ref="B349:B350"/>
    <mergeCell ref="C349:C350"/>
    <mergeCell ref="D349:D350"/>
    <mergeCell ref="E349:E350"/>
    <mergeCell ref="F349:K349"/>
    <mergeCell ref="A347:A348"/>
    <mergeCell ref="B347:B348"/>
    <mergeCell ref="C347:C348"/>
    <mergeCell ref="D347:D348"/>
    <mergeCell ref="E347:E348"/>
    <mergeCell ref="F347:K347"/>
    <mergeCell ref="A345:A346"/>
    <mergeCell ref="B345:B346"/>
    <mergeCell ref="C345:C346"/>
    <mergeCell ref="D345:D346"/>
    <mergeCell ref="E345:E346"/>
    <mergeCell ref="F345:K345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2790501-221E-48D7-9830-4AB2F56A4546}">
  <sheetPr codeName="Sheet3"/>
  <dimension ref="A1:K179"/>
  <sheetViews>
    <sheetView tabSelected="1" workbookViewId="0">
      <selection activeCell="C24" sqref="C24"/>
    </sheetView>
  </sheetViews>
  <sheetFormatPr defaultRowHeight="18"/>
  <cols>
    <col min="1" max="1" width="4.19921875" bestFit="1" customWidth="1"/>
    <col min="2" max="2" width="34" bestFit="1" customWidth="1"/>
    <col min="3" max="3" width="36" customWidth="1"/>
    <col min="4" max="5" width="12.59765625" bestFit="1" customWidth="1"/>
    <col min="6" max="7" width="7.59765625" customWidth="1"/>
    <col min="8" max="8" width="8.69921875" customWidth="1"/>
    <col min="9" max="9" width="10.796875" customWidth="1"/>
    <col min="10" max="10" width="13" customWidth="1"/>
    <col min="11" max="11" width="16.796875" bestFit="1" customWidth="1"/>
  </cols>
  <sheetData>
    <row r="1" spans="1:11">
      <c r="B1" s="21" t="s">
        <v>177</v>
      </c>
      <c r="C1" s="21"/>
    </row>
    <row r="2" spans="1:11">
      <c r="B2" s="11" t="s">
        <v>178</v>
      </c>
      <c r="C2" s="11">
        <v>35</v>
      </c>
    </row>
    <row r="3" spans="1:11">
      <c r="B3" s="11" t="s">
        <v>179</v>
      </c>
      <c r="C3" s="13">
        <v>1000000</v>
      </c>
    </row>
    <row r="4" spans="1:11">
      <c r="B4" s="11"/>
    </row>
    <row r="5" spans="1:11">
      <c r="B5" s="16" t="s">
        <v>180</v>
      </c>
      <c r="C5" s="17"/>
    </row>
    <row r="6" spans="1:11">
      <c r="B6" s="11"/>
    </row>
    <row r="9" spans="1:11">
      <c r="A9" t="s">
        <v>181</v>
      </c>
      <c r="B9" s="1" t="s">
        <v>0</v>
      </c>
      <c r="C9" s="1" t="s">
        <v>1</v>
      </c>
      <c r="D9" s="1" t="s">
        <v>182</v>
      </c>
      <c r="E9" s="1" t="s">
        <v>183</v>
      </c>
      <c r="F9" s="1" t="s">
        <v>6</v>
      </c>
      <c r="G9" s="1" t="s">
        <v>7</v>
      </c>
      <c r="H9" s="1" t="s">
        <v>8</v>
      </c>
      <c r="I9" s="1" t="s">
        <v>184</v>
      </c>
      <c r="J9" s="1" t="s">
        <v>10</v>
      </c>
      <c r="K9" s="1" t="s">
        <v>185</v>
      </c>
    </row>
    <row r="10" spans="1:11">
      <c r="A10">
        <v>109</v>
      </c>
      <c r="B10" s="2" t="s">
        <v>105</v>
      </c>
      <c r="C10" s="2" t="s">
        <v>106</v>
      </c>
      <c r="D10" s="2">
        <v>7</v>
      </c>
      <c r="E10" s="3">
        <v>100000</v>
      </c>
      <c r="F10" s="9">
        <v>1</v>
      </c>
      <c r="G10" s="9">
        <v>5.3</v>
      </c>
      <c r="H10" s="9">
        <v>0</v>
      </c>
      <c r="I10" s="12">
        <v>5.3</v>
      </c>
      <c r="J10" s="2">
        <v>7</v>
      </c>
      <c r="K10" s="10">
        <f>+$C$3*(1+(I10/100))^10</f>
        <v>1676037.4245902679</v>
      </c>
    </row>
    <row r="11" spans="1:11">
      <c r="A11">
        <v>231</v>
      </c>
      <c r="B11" s="2" t="s">
        <v>105</v>
      </c>
      <c r="C11" s="2" t="s">
        <v>106</v>
      </c>
      <c r="D11" s="2">
        <v>5</v>
      </c>
      <c r="E11" s="3">
        <v>100000</v>
      </c>
      <c r="F11" s="9">
        <v>1</v>
      </c>
      <c r="G11" s="9">
        <v>5.2</v>
      </c>
      <c r="H11" s="9">
        <v>0</v>
      </c>
      <c r="I11" s="12">
        <v>5.2</v>
      </c>
      <c r="J11" s="2">
        <v>5</v>
      </c>
      <c r="K11" s="10">
        <f>+$C$3*(1+(I11/100))^10</f>
        <v>1660188.4884063303</v>
      </c>
    </row>
    <row r="12" spans="1:11">
      <c r="A12">
        <v>10</v>
      </c>
      <c r="B12" s="2" t="s">
        <v>23</v>
      </c>
      <c r="C12" s="2" t="s">
        <v>24</v>
      </c>
      <c r="D12" s="2">
        <v>10</v>
      </c>
      <c r="E12" s="3">
        <v>20000</v>
      </c>
      <c r="F12" s="9">
        <v>3</v>
      </c>
      <c r="G12" s="9">
        <v>5.0999999999999996</v>
      </c>
      <c r="H12" s="9">
        <v>0</v>
      </c>
      <c r="I12" s="12">
        <v>5.0999999999999996</v>
      </c>
      <c r="J12" s="2">
        <v>10</v>
      </c>
      <c r="K12" s="10">
        <f>+$C$3*(1+(I12/100))^10</f>
        <v>1644474.5635659895</v>
      </c>
    </row>
    <row r="13" spans="1:11">
      <c r="A13">
        <v>103</v>
      </c>
      <c r="B13" s="2" t="s">
        <v>100</v>
      </c>
      <c r="C13" s="2" t="s">
        <v>101</v>
      </c>
      <c r="D13" s="2">
        <v>7</v>
      </c>
      <c r="E13" s="3">
        <v>100000</v>
      </c>
      <c r="F13" s="9">
        <v>0.25</v>
      </c>
      <c r="G13" s="9">
        <v>5.05</v>
      </c>
      <c r="H13" s="9">
        <v>0</v>
      </c>
      <c r="I13" s="12">
        <v>5.05</v>
      </c>
      <c r="J13" s="2">
        <v>7</v>
      </c>
      <c r="K13" s="10">
        <f>+$C$3*(1+(I13/100))^10</f>
        <v>1636667.9103551821</v>
      </c>
    </row>
    <row r="14" spans="1:11">
      <c r="A14">
        <v>177</v>
      </c>
      <c r="B14" s="2" t="s">
        <v>21</v>
      </c>
      <c r="C14" s="2" t="s">
        <v>66</v>
      </c>
      <c r="D14" s="2">
        <v>5</v>
      </c>
      <c r="E14" s="3">
        <v>100000</v>
      </c>
      <c r="F14" s="9">
        <v>0.5</v>
      </c>
      <c r="G14" s="9">
        <v>5.05</v>
      </c>
      <c r="H14" s="9">
        <v>0</v>
      </c>
      <c r="I14" s="12">
        <v>5.05</v>
      </c>
      <c r="J14" s="2">
        <v>5</v>
      </c>
      <c r="K14" s="10">
        <f>+$C$3*(1+(I14/100))^10</f>
        <v>1636667.9103551821</v>
      </c>
    </row>
    <row r="15" spans="1:11">
      <c r="A15">
        <v>81</v>
      </c>
      <c r="B15" s="2" t="s">
        <v>23</v>
      </c>
      <c r="C15" s="2" t="s">
        <v>79</v>
      </c>
      <c r="D15" s="2">
        <v>7</v>
      </c>
      <c r="E15" s="3">
        <v>20000</v>
      </c>
      <c r="F15" s="9">
        <v>3</v>
      </c>
      <c r="G15" s="9">
        <v>5</v>
      </c>
      <c r="H15" s="9">
        <v>0</v>
      </c>
      <c r="I15" s="12">
        <v>5</v>
      </c>
      <c r="J15" s="2">
        <v>7</v>
      </c>
      <c r="K15" s="10">
        <f>+$C$3*(1+(I15/100))^10</f>
        <v>1628894.6267774415</v>
      </c>
    </row>
    <row r="16" spans="1:11">
      <c r="A16">
        <v>83</v>
      </c>
      <c r="B16" s="2" t="s">
        <v>80</v>
      </c>
      <c r="C16" s="2" t="s">
        <v>81</v>
      </c>
      <c r="D16" s="2">
        <v>7</v>
      </c>
      <c r="E16" s="3">
        <v>100000</v>
      </c>
      <c r="F16" s="9">
        <v>1</v>
      </c>
      <c r="G16" s="9">
        <v>5</v>
      </c>
      <c r="H16" s="9">
        <v>0</v>
      </c>
      <c r="I16" s="12">
        <v>5</v>
      </c>
      <c r="J16" s="2">
        <v>7</v>
      </c>
      <c r="K16" s="10">
        <f>+$C$3*(1+(I16/100))^10</f>
        <v>1628894.6267774415</v>
      </c>
    </row>
    <row r="17" spans="1:11">
      <c r="A17">
        <v>171</v>
      </c>
      <c r="B17" s="2" t="s">
        <v>186</v>
      </c>
      <c r="C17" s="2" t="s">
        <v>64</v>
      </c>
      <c r="D17" s="2">
        <v>5</v>
      </c>
      <c r="E17" s="3">
        <v>100000</v>
      </c>
      <c r="F17" s="9">
        <v>0.1</v>
      </c>
      <c r="G17" s="9">
        <v>5</v>
      </c>
      <c r="H17" s="9">
        <v>0</v>
      </c>
      <c r="I17" s="12">
        <v>5</v>
      </c>
      <c r="J17" s="2">
        <v>5</v>
      </c>
      <c r="K17" s="10">
        <f>+$C$3*(1+(I17/100))^10</f>
        <v>1628894.6267774415</v>
      </c>
    </row>
    <row r="18" spans="1:11">
      <c r="A18">
        <v>191</v>
      </c>
      <c r="B18" s="2" t="s">
        <v>74</v>
      </c>
      <c r="C18" s="2" t="s">
        <v>75</v>
      </c>
      <c r="D18" s="2">
        <v>5</v>
      </c>
      <c r="E18" s="3">
        <v>75000</v>
      </c>
      <c r="F18" s="9">
        <v>2.35</v>
      </c>
      <c r="G18" s="9">
        <v>5</v>
      </c>
      <c r="H18" s="9">
        <v>0</v>
      </c>
      <c r="I18" s="12">
        <v>5</v>
      </c>
      <c r="J18" s="2">
        <v>5</v>
      </c>
      <c r="K18" s="10">
        <f>+$C$3*(1+(I18/100))^10</f>
        <v>1628894.6267774415</v>
      </c>
    </row>
    <row r="19" spans="1:11">
      <c r="A19">
        <v>6</v>
      </c>
      <c r="B19" s="2" t="s">
        <v>19</v>
      </c>
      <c r="C19" s="2" t="s">
        <v>20</v>
      </c>
      <c r="D19" s="2">
        <v>10</v>
      </c>
      <c r="E19" s="3">
        <v>100000</v>
      </c>
      <c r="F19" s="9">
        <v>1.4</v>
      </c>
      <c r="G19" s="9">
        <v>4.95</v>
      </c>
      <c r="H19" s="9">
        <v>0</v>
      </c>
      <c r="I19" s="12">
        <v>4.95</v>
      </c>
      <c r="J19" s="2">
        <v>10</v>
      </c>
      <c r="K19" s="10">
        <f>+$C$3*(1+(I19/100))^10</f>
        <v>1621154.5859823662</v>
      </c>
    </row>
    <row r="20" spans="1:11" ht="18" customHeight="1">
      <c r="A20">
        <v>33</v>
      </c>
      <c r="B20" s="2" t="s">
        <v>38</v>
      </c>
      <c r="C20" s="2" t="s">
        <v>41</v>
      </c>
      <c r="D20" s="2">
        <v>7</v>
      </c>
      <c r="E20" s="3">
        <v>100000</v>
      </c>
      <c r="F20" s="9">
        <v>0.25</v>
      </c>
      <c r="G20" s="9">
        <v>4.95</v>
      </c>
      <c r="H20" s="9">
        <v>0</v>
      </c>
      <c r="I20" s="12">
        <v>4.95</v>
      </c>
      <c r="J20" s="2">
        <v>7</v>
      </c>
      <c r="K20" s="10">
        <f>+$C$3*(1+(I20/100))^10</f>
        <v>1621154.5859823662</v>
      </c>
    </row>
    <row r="21" spans="1:11" ht="18" customHeight="1">
      <c r="A21">
        <v>87</v>
      </c>
      <c r="B21" s="2" t="s">
        <v>80</v>
      </c>
      <c r="C21" s="2" t="s">
        <v>85</v>
      </c>
      <c r="D21" s="2">
        <v>7</v>
      </c>
      <c r="E21" s="3">
        <v>100000</v>
      </c>
      <c r="F21" s="9">
        <v>1</v>
      </c>
      <c r="G21" s="9">
        <v>4.95</v>
      </c>
      <c r="H21" s="9">
        <v>0</v>
      </c>
      <c r="I21" s="12">
        <v>4.95</v>
      </c>
      <c r="J21" s="2">
        <v>7</v>
      </c>
      <c r="K21" s="10">
        <f>+$C$3*(1+(I21/100))^10</f>
        <v>1621154.5859823662</v>
      </c>
    </row>
    <row r="22" spans="1:11">
      <c r="A22">
        <v>141</v>
      </c>
      <c r="B22" s="2" t="s">
        <v>38</v>
      </c>
      <c r="C22" s="2" t="s">
        <v>117</v>
      </c>
      <c r="D22" s="2">
        <v>5</v>
      </c>
      <c r="E22" s="3">
        <v>100000</v>
      </c>
      <c r="F22" s="9">
        <v>0.25</v>
      </c>
      <c r="G22" s="9">
        <v>4.95</v>
      </c>
      <c r="H22" s="9">
        <v>0</v>
      </c>
      <c r="I22" s="12">
        <v>4.95</v>
      </c>
      <c r="J22" s="2">
        <v>5</v>
      </c>
      <c r="K22" s="10">
        <f>+$C$3*(1+(I22/100))^10</f>
        <v>1621154.5859823662</v>
      </c>
    </row>
    <row r="23" spans="1:11">
      <c r="A23">
        <v>225</v>
      </c>
      <c r="B23" s="2" t="s">
        <v>100</v>
      </c>
      <c r="C23" s="2" t="s">
        <v>142</v>
      </c>
      <c r="D23" s="2">
        <v>5</v>
      </c>
      <c r="E23" s="3">
        <v>100000</v>
      </c>
      <c r="F23" s="9">
        <v>0.25</v>
      </c>
      <c r="G23" s="9">
        <v>4.95</v>
      </c>
      <c r="H23" s="9">
        <v>0</v>
      </c>
      <c r="I23" s="12">
        <v>4.95</v>
      </c>
      <c r="J23" s="2">
        <v>5</v>
      </c>
      <c r="K23" s="10">
        <f>+$C$3*(1+(I23/100))^10</f>
        <v>1621154.5859823662</v>
      </c>
    </row>
    <row r="24" spans="1:11">
      <c r="A24">
        <v>43</v>
      </c>
      <c r="B24" s="2" t="s">
        <v>49</v>
      </c>
      <c r="C24" s="2" t="s">
        <v>50</v>
      </c>
      <c r="D24" s="2">
        <v>7</v>
      </c>
      <c r="E24" s="3">
        <v>100000</v>
      </c>
      <c r="F24" s="9">
        <v>0.25</v>
      </c>
      <c r="G24" s="9">
        <v>4.9000000000000004</v>
      </c>
      <c r="H24" s="9">
        <v>0</v>
      </c>
      <c r="I24" s="12">
        <v>4.9000000000000004</v>
      </c>
      <c r="J24" s="2">
        <v>7</v>
      </c>
      <c r="K24" s="10">
        <f>+$C$3*(1+(I24/100))^10</f>
        <v>1613447.6615416745</v>
      </c>
    </row>
    <row r="25" spans="1:11" ht="18" customHeight="1">
      <c r="A25">
        <v>45</v>
      </c>
      <c r="B25" s="2" t="s">
        <v>51</v>
      </c>
      <c r="C25" s="2" t="s">
        <v>52</v>
      </c>
      <c r="D25" s="2">
        <v>7</v>
      </c>
      <c r="E25" s="3">
        <v>100000</v>
      </c>
      <c r="F25" s="9">
        <v>1</v>
      </c>
      <c r="G25" s="9">
        <v>4.9000000000000004</v>
      </c>
      <c r="H25" s="9">
        <v>0</v>
      </c>
      <c r="I25" s="12">
        <v>4.9000000000000004</v>
      </c>
      <c r="J25" s="2">
        <v>7</v>
      </c>
      <c r="K25" s="10">
        <f>+$C$3*(1+(I25/100))^10</f>
        <v>1613447.6615416745</v>
      </c>
    </row>
    <row r="26" spans="1:11">
      <c r="A26">
        <v>77</v>
      </c>
      <c r="B26" s="2" t="s">
        <v>74</v>
      </c>
      <c r="C26" s="2" t="s">
        <v>75</v>
      </c>
      <c r="D26" s="2">
        <v>7</v>
      </c>
      <c r="E26" s="3">
        <v>75000</v>
      </c>
      <c r="F26" s="9">
        <v>2.35</v>
      </c>
      <c r="G26" s="9">
        <v>4.9000000000000004</v>
      </c>
      <c r="H26" s="9">
        <v>0</v>
      </c>
      <c r="I26" s="12">
        <v>4.9000000000000004</v>
      </c>
      <c r="J26" s="2">
        <v>7</v>
      </c>
      <c r="K26" s="10">
        <f>+$C$3*(1+(I26/100))^10</f>
        <v>1613447.6615416745</v>
      </c>
    </row>
    <row r="27" spans="1:11">
      <c r="A27">
        <v>79</v>
      </c>
      <c r="B27" s="2" t="s">
        <v>77</v>
      </c>
      <c r="C27" s="2" t="s">
        <v>78</v>
      </c>
      <c r="D27" s="2">
        <v>7</v>
      </c>
      <c r="E27" s="3">
        <v>100000</v>
      </c>
      <c r="F27" s="9">
        <v>0.25</v>
      </c>
      <c r="G27" s="9">
        <v>4.9000000000000004</v>
      </c>
      <c r="H27" s="9">
        <v>0</v>
      </c>
      <c r="I27" s="12">
        <v>4.9000000000000004</v>
      </c>
      <c r="J27" s="2">
        <v>7</v>
      </c>
      <c r="K27" s="10">
        <f>+$C$3*(1+(I27/100))^10</f>
        <v>1613447.6615416745</v>
      </c>
    </row>
    <row r="28" spans="1:11" ht="18" customHeight="1">
      <c r="A28">
        <v>91</v>
      </c>
      <c r="B28" s="2" t="s">
        <v>89</v>
      </c>
      <c r="C28" s="2" t="s">
        <v>90</v>
      </c>
      <c r="D28" s="2">
        <v>7</v>
      </c>
      <c r="E28" s="3">
        <v>10000</v>
      </c>
      <c r="F28" s="9">
        <v>2.4</v>
      </c>
      <c r="G28" s="9">
        <v>4.9000000000000004</v>
      </c>
      <c r="H28" s="9">
        <v>0</v>
      </c>
      <c r="I28" s="12">
        <v>4.9000000000000004</v>
      </c>
      <c r="J28" s="2">
        <v>7</v>
      </c>
      <c r="K28" s="10">
        <f>+$C$3*(1+(I28/100))^10</f>
        <v>1613447.6615416745</v>
      </c>
    </row>
    <row r="29" spans="1:11" ht="18" customHeight="1">
      <c r="A29">
        <v>107</v>
      </c>
      <c r="B29" s="2" t="s">
        <v>100</v>
      </c>
      <c r="C29" s="2" t="s">
        <v>102</v>
      </c>
      <c r="D29" s="2">
        <v>7</v>
      </c>
      <c r="E29" s="3">
        <v>100000</v>
      </c>
      <c r="F29" s="9">
        <v>0.25</v>
      </c>
      <c r="G29" s="9">
        <v>4.9000000000000004</v>
      </c>
      <c r="H29" s="9">
        <v>0</v>
      </c>
      <c r="I29" s="12">
        <v>4.9000000000000004</v>
      </c>
      <c r="J29" s="2">
        <v>7</v>
      </c>
      <c r="K29" s="10">
        <f>+$C$3*(1+(I29/100))^10</f>
        <v>1613447.6615416745</v>
      </c>
    </row>
    <row r="30" spans="1:11">
      <c r="A30">
        <v>151</v>
      </c>
      <c r="B30" s="2" t="s">
        <v>49</v>
      </c>
      <c r="C30" s="2" t="s">
        <v>50</v>
      </c>
      <c r="D30" s="2">
        <v>5</v>
      </c>
      <c r="E30" s="3">
        <v>100000</v>
      </c>
      <c r="F30" s="9">
        <v>0.25</v>
      </c>
      <c r="G30" s="9">
        <v>4.9000000000000004</v>
      </c>
      <c r="H30" s="9">
        <v>0</v>
      </c>
      <c r="I30" s="12">
        <v>4.9000000000000004</v>
      </c>
      <c r="J30" s="2">
        <v>5</v>
      </c>
      <c r="K30" s="10">
        <f>+$C$3*(1+(I30/100))^10</f>
        <v>1613447.6615416745</v>
      </c>
    </row>
    <row r="31" spans="1:11" ht="18" customHeight="1">
      <c r="A31">
        <v>213</v>
      </c>
      <c r="B31" s="2" t="s">
        <v>89</v>
      </c>
      <c r="C31" s="2" t="s">
        <v>90</v>
      </c>
      <c r="D31" s="2">
        <v>5</v>
      </c>
      <c r="E31" s="3">
        <v>10000</v>
      </c>
      <c r="F31" s="9">
        <v>2.4</v>
      </c>
      <c r="G31" s="9">
        <v>4.9000000000000004</v>
      </c>
      <c r="H31" s="9">
        <v>0</v>
      </c>
      <c r="I31" s="12">
        <v>4.9000000000000004</v>
      </c>
      <c r="J31" s="2">
        <v>5</v>
      </c>
      <c r="K31" s="10">
        <f>+$C$3*(1+(I31/100))^10</f>
        <v>1613447.6615416745</v>
      </c>
    </row>
    <row r="32" spans="1:11">
      <c r="A32">
        <v>29</v>
      </c>
      <c r="B32" s="2" t="s">
        <v>36</v>
      </c>
      <c r="C32" s="2" t="s">
        <v>37</v>
      </c>
      <c r="D32" s="2">
        <v>7</v>
      </c>
      <c r="E32" s="3">
        <v>100000</v>
      </c>
      <c r="F32" s="9">
        <v>2.4500000000000002</v>
      </c>
      <c r="G32" s="9">
        <v>4.8499999999999996</v>
      </c>
      <c r="H32" s="9">
        <v>0</v>
      </c>
      <c r="I32" s="12">
        <v>4.8499999999999996</v>
      </c>
      <c r="J32" s="2">
        <v>7</v>
      </c>
      <c r="K32" s="10">
        <f>+$C$3*(1+(I32/100))^10</f>
        <v>1605773.727448025</v>
      </c>
    </row>
    <row r="33" spans="1:11" ht="18" customHeight="1">
      <c r="A33">
        <v>31</v>
      </c>
      <c r="B33" s="2" t="s">
        <v>38</v>
      </c>
      <c r="C33" s="2" t="s">
        <v>39</v>
      </c>
      <c r="D33" s="2">
        <v>7</v>
      </c>
      <c r="E33" s="3">
        <v>100000</v>
      </c>
      <c r="F33" s="9">
        <v>0.25</v>
      </c>
      <c r="G33" s="9">
        <v>4.8499999999999996</v>
      </c>
      <c r="H33" s="9">
        <v>0</v>
      </c>
      <c r="I33" s="12">
        <v>4.8499999999999996</v>
      </c>
      <c r="J33" s="2">
        <v>7</v>
      </c>
      <c r="K33" s="10">
        <f>+$C$3*(1+(I33/100))^10</f>
        <v>1605773.727448025</v>
      </c>
    </row>
    <row r="34" spans="1:11">
      <c r="A34">
        <v>39</v>
      </c>
      <c r="B34" s="2" t="s">
        <v>44</v>
      </c>
      <c r="C34" s="2" t="s">
        <v>45</v>
      </c>
      <c r="D34" s="2">
        <v>7</v>
      </c>
      <c r="E34" s="3">
        <v>100000</v>
      </c>
      <c r="F34" s="9">
        <v>0.05</v>
      </c>
      <c r="G34" s="9">
        <v>4.8499999999999996</v>
      </c>
      <c r="H34" s="9">
        <v>0</v>
      </c>
      <c r="I34" s="12">
        <v>4.8499999999999996</v>
      </c>
      <c r="J34" s="2">
        <v>7</v>
      </c>
      <c r="K34" s="10">
        <f>+$C$3*(1+(I34/100))^10</f>
        <v>1605773.727448025</v>
      </c>
    </row>
    <row r="35" spans="1:11" ht="18" customHeight="1">
      <c r="A35">
        <v>47</v>
      </c>
      <c r="B35" s="2" t="s">
        <v>53</v>
      </c>
      <c r="C35" s="2" t="s">
        <v>54</v>
      </c>
      <c r="D35" s="2">
        <v>7</v>
      </c>
      <c r="E35" s="3">
        <v>100000</v>
      </c>
      <c r="F35" s="9">
        <v>0.1</v>
      </c>
      <c r="G35" s="9">
        <v>4.8499999999999996</v>
      </c>
      <c r="H35" s="9">
        <v>0</v>
      </c>
      <c r="I35" s="12">
        <v>4.8499999999999996</v>
      </c>
      <c r="J35" s="2">
        <v>7</v>
      </c>
      <c r="K35" s="10">
        <f>+$C$3*(1+(I35/100))^10</f>
        <v>1605773.727448025</v>
      </c>
    </row>
    <row r="36" spans="1:11">
      <c r="A36">
        <v>137</v>
      </c>
      <c r="B36" s="2" t="s">
        <v>36</v>
      </c>
      <c r="C36" s="2" t="s">
        <v>37</v>
      </c>
      <c r="D36" s="2">
        <v>5</v>
      </c>
      <c r="E36" s="3">
        <v>100000</v>
      </c>
      <c r="F36" s="9">
        <v>2.4500000000000002</v>
      </c>
      <c r="G36" s="9">
        <v>4.8499999999999996</v>
      </c>
      <c r="H36" s="9">
        <v>0</v>
      </c>
      <c r="I36" s="12">
        <v>4.8499999999999996</v>
      </c>
      <c r="J36" s="2">
        <v>5</v>
      </c>
      <c r="K36" s="10">
        <f>+$C$3*(1+(I36/100))^10</f>
        <v>1605773.727448025</v>
      </c>
    </row>
    <row r="37" spans="1:11">
      <c r="A37">
        <v>139</v>
      </c>
      <c r="B37" s="2" t="s">
        <v>38</v>
      </c>
      <c r="C37" s="2" t="s">
        <v>115</v>
      </c>
      <c r="D37" s="2">
        <v>5</v>
      </c>
      <c r="E37" s="3">
        <v>100000</v>
      </c>
      <c r="F37" s="9">
        <v>0.25</v>
      </c>
      <c r="G37" s="9">
        <v>4.8499999999999996</v>
      </c>
      <c r="H37" s="9">
        <v>0</v>
      </c>
      <c r="I37" s="12">
        <v>4.8499999999999996</v>
      </c>
      <c r="J37" s="2">
        <v>5</v>
      </c>
      <c r="K37" s="10">
        <f>+$C$3*(1+(I37/100))^10</f>
        <v>1605773.727448025</v>
      </c>
    </row>
    <row r="38" spans="1:11">
      <c r="A38">
        <v>197</v>
      </c>
      <c r="B38" s="2" t="s">
        <v>77</v>
      </c>
      <c r="C38" s="2" t="s">
        <v>78</v>
      </c>
      <c r="D38" s="2">
        <v>5</v>
      </c>
      <c r="E38" s="3">
        <v>100000</v>
      </c>
      <c r="F38" s="9">
        <v>0.25</v>
      </c>
      <c r="G38" s="9">
        <v>4.8499999999999996</v>
      </c>
      <c r="H38" s="9">
        <v>0</v>
      </c>
      <c r="I38" s="12">
        <v>4.8499999999999996</v>
      </c>
      <c r="J38" s="2">
        <v>5</v>
      </c>
      <c r="K38" s="10">
        <f>+$C$3*(1+(I38/100))^10</f>
        <v>1605773.727448025</v>
      </c>
    </row>
    <row r="39" spans="1:11">
      <c r="A39">
        <v>205</v>
      </c>
      <c r="B39" s="2" t="s">
        <v>80</v>
      </c>
      <c r="C39" s="2" t="s">
        <v>136</v>
      </c>
      <c r="D39" s="2">
        <v>5</v>
      </c>
      <c r="E39" s="3">
        <v>100000</v>
      </c>
      <c r="F39" s="9">
        <v>1</v>
      </c>
      <c r="G39" s="9">
        <v>4.8499999999999996</v>
      </c>
      <c r="H39" s="9">
        <v>0</v>
      </c>
      <c r="I39" s="12">
        <v>4.8499999999999996</v>
      </c>
      <c r="J39" s="2">
        <v>5</v>
      </c>
      <c r="K39" s="10">
        <f>+$C$3*(1+(I39/100))^10</f>
        <v>1605773.727448025</v>
      </c>
    </row>
    <row r="40" spans="1:11">
      <c r="A40">
        <v>229</v>
      </c>
      <c r="B40" s="2" t="s">
        <v>100</v>
      </c>
      <c r="C40" s="2" t="s">
        <v>143</v>
      </c>
      <c r="D40" s="2">
        <v>5</v>
      </c>
      <c r="E40" s="3">
        <v>100000</v>
      </c>
      <c r="F40" s="9">
        <v>0.25</v>
      </c>
      <c r="G40" s="9">
        <v>4.8499999999999996</v>
      </c>
      <c r="H40" s="9">
        <v>0</v>
      </c>
      <c r="I40" s="12">
        <v>4.8499999999999996</v>
      </c>
      <c r="J40" s="2">
        <v>5</v>
      </c>
      <c r="K40" s="10">
        <f>+$C$3*(1+(I40/100))^10</f>
        <v>1605773.727448025</v>
      </c>
    </row>
    <row r="41" spans="1:11" ht="18" customHeight="1">
      <c r="A41">
        <v>13</v>
      </c>
      <c r="B41" s="2" t="s">
        <v>187</v>
      </c>
      <c r="C41" s="2" t="s">
        <v>27</v>
      </c>
      <c r="D41" s="2">
        <v>9</v>
      </c>
      <c r="E41" s="3">
        <v>100000</v>
      </c>
      <c r="F41" s="9">
        <v>1</v>
      </c>
      <c r="G41" s="9">
        <v>4.8</v>
      </c>
      <c r="H41" s="9">
        <v>0</v>
      </c>
      <c r="I41" s="12">
        <v>4.8</v>
      </c>
      <c r="J41" s="2">
        <v>9</v>
      </c>
      <c r="K41" s="10">
        <f>+$C$3*(1+(I41/100))^10</f>
        <v>1598132.6581137944</v>
      </c>
    </row>
    <row r="42" spans="1:11">
      <c r="A42">
        <v>57</v>
      </c>
      <c r="B42" s="2" t="s">
        <v>19</v>
      </c>
      <c r="C42" s="2" t="s">
        <v>20</v>
      </c>
      <c r="D42" s="2">
        <v>7</v>
      </c>
      <c r="E42" s="3">
        <v>100000</v>
      </c>
      <c r="F42" s="9">
        <v>1.4</v>
      </c>
      <c r="G42" s="9">
        <v>4.8</v>
      </c>
      <c r="H42" s="9">
        <v>0</v>
      </c>
      <c r="I42" s="12">
        <v>4.8</v>
      </c>
      <c r="J42" s="2">
        <v>7</v>
      </c>
      <c r="K42" s="10">
        <f>+$C$3*(1+(I42/100))^10</f>
        <v>1598132.6581137944</v>
      </c>
    </row>
    <row r="43" spans="1:11">
      <c r="A43">
        <v>199</v>
      </c>
      <c r="B43" s="2" t="s">
        <v>23</v>
      </c>
      <c r="C43" s="2" t="s">
        <v>133</v>
      </c>
      <c r="D43" s="2">
        <v>5</v>
      </c>
      <c r="E43" s="3">
        <v>10000</v>
      </c>
      <c r="F43" s="9">
        <v>3</v>
      </c>
      <c r="G43" s="9">
        <v>4.8</v>
      </c>
      <c r="H43" s="9">
        <v>0</v>
      </c>
      <c r="I43" s="12">
        <v>4.8</v>
      </c>
      <c r="J43" s="2">
        <v>5</v>
      </c>
      <c r="K43" s="10">
        <f>+$C$3*(1+(I43/100))^10</f>
        <v>1598132.6581137944</v>
      </c>
    </row>
    <row r="44" spans="1:11">
      <c r="A44">
        <v>203</v>
      </c>
      <c r="B44" s="2" t="s">
        <v>23</v>
      </c>
      <c r="C44" s="2" t="s">
        <v>135</v>
      </c>
      <c r="D44" s="2">
        <v>5</v>
      </c>
      <c r="E44" s="3">
        <v>20000</v>
      </c>
      <c r="F44" s="9">
        <v>3</v>
      </c>
      <c r="G44" s="9">
        <v>4.8</v>
      </c>
      <c r="H44" s="9">
        <v>0</v>
      </c>
      <c r="I44" s="12">
        <v>4.8</v>
      </c>
      <c r="J44" s="2">
        <v>5</v>
      </c>
      <c r="K44" s="10">
        <f>+$C$3*(1+(I44/100))^10</f>
        <v>1598132.6581137944</v>
      </c>
    </row>
    <row r="45" spans="1:11">
      <c r="A45">
        <v>209</v>
      </c>
      <c r="B45" s="2" t="s">
        <v>80</v>
      </c>
      <c r="C45" s="2" t="s">
        <v>138</v>
      </c>
      <c r="D45" s="2">
        <v>5</v>
      </c>
      <c r="E45" s="3">
        <v>100000</v>
      </c>
      <c r="F45" s="9">
        <v>1</v>
      </c>
      <c r="G45" s="9">
        <v>4.8</v>
      </c>
      <c r="H45" s="9">
        <v>0</v>
      </c>
      <c r="I45" s="12">
        <v>4.8</v>
      </c>
      <c r="J45" s="2">
        <v>5</v>
      </c>
      <c r="K45" s="10">
        <f>+$C$3*(1+(I45/100))^10</f>
        <v>1598132.6581137944</v>
      </c>
    </row>
    <row r="46" spans="1:11">
      <c r="A46">
        <v>35</v>
      </c>
      <c r="B46" s="2" t="s">
        <v>38</v>
      </c>
      <c r="C46" s="2" t="s">
        <v>43</v>
      </c>
      <c r="D46" s="2">
        <v>7</v>
      </c>
      <c r="E46" s="3">
        <v>100000</v>
      </c>
      <c r="F46" s="9">
        <v>0.25</v>
      </c>
      <c r="G46" s="9">
        <v>4.75</v>
      </c>
      <c r="H46" s="9">
        <v>0</v>
      </c>
      <c r="I46" s="12">
        <v>4.75</v>
      </c>
      <c r="J46" s="2">
        <v>7</v>
      </c>
      <c r="K46" s="10">
        <f>+$C$3*(1+(I46/100))^10</f>
        <v>1590524.3283698792</v>
      </c>
    </row>
    <row r="47" spans="1:11">
      <c r="A47">
        <v>75</v>
      </c>
      <c r="B47" s="2" t="s">
        <v>72</v>
      </c>
      <c r="C47" s="2" t="s">
        <v>73</v>
      </c>
      <c r="D47" s="2">
        <v>7</v>
      </c>
      <c r="E47" s="3">
        <v>100000</v>
      </c>
      <c r="F47" s="9">
        <v>1.7</v>
      </c>
      <c r="G47" s="9">
        <v>4.75</v>
      </c>
      <c r="H47" s="9">
        <v>0</v>
      </c>
      <c r="I47" s="12">
        <v>4.75</v>
      </c>
      <c r="J47" s="2">
        <v>7</v>
      </c>
      <c r="K47" s="10">
        <f>+$C$3*(1+(I47/100))^10</f>
        <v>1590524.3283698792</v>
      </c>
    </row>
    <row r="48" spans="1:11">
      <c r="A48">
        <v>167</v>
      </c>
      <c r="B48" s="2" t="s">
        <v>19</v>
      </c>
      <c r="C48" s="2" t="s">
        <v>20</v>
      </c>
      <c r="D48" s="2">
        <v>5</v>
      </c>
      <c r="E48" s="3">
        <v>100000</v>
      </c>
      <c r="F48" s="9">
        <v>1.4</v>
      </c>
      <c r="G48" s="9">
        <v>4.75</v>
      </c>
      <c r="H48" s="9">
        <v>0</v>
      </c>
      <c r="I48" s="12">
        <v>4.75</v>
      </c>
      <c r="J48" s="2">
        <v>5</v>
      </c>
      <c r="K48" s="10">
        <f>+$C$3*(1+(I48/100))^10</f>
        <v>1590524.3283698792</v>
      </c>
    </row>
    <row r="49" spans="1:11">
      <c r="A49">
        <v>61</v>
      </c>
      <c r="B49" s="2" t="s">
        <v>186</v>
      </c>
      <c r="C49" s="2" t="s">
        <v>64</v>
      </c>
      <c r="D49" s="2">
        <v>7</v>
      </c>
      <c r="E49" s="3">
        <v>100000</v>
      </c>
      <c r="F49" s="9">
        <v>0.1</v>
      </c>
      <c r="G49" s="9">
        <v>4.7</v>
      </c>
      <c r="H49" s="9">
        <v>0</v>
      </c>
      <c r="I49" s="12">
        <v>4.7</v>
      </c>
      <c r="J49" s="2">
        <v>7</v>
      </c>
      <c r="K49" s="10">
        <f>+$C$3*(1+(I49/100))^10</f>
        <v>1582948.6134645077</v>
      </c>
    </row>
    <row r="50" spans="1:11">
      <c r="A50">
        <v>67</v>
      </c>
      <c r="B50" s="2" t="s">
        <v>21</v>
      </c>
      <c r="C50" s="2" t="s">
        <v>66</v>
      </c>
      <c r="D50" s="2">
        <v>7</v>
      </c>
      <c r="E50" s="3">
        <v>100000</v>
      </c>
      <c r="F50" s="9">
        <v>0.5</v>
      </c>
      <c r="G50" s="9">
        <v>4.7</v>
      </c>
      <c r="H50" s="9">
        <v>0</v>
      </c>
      <c r="I50" s="12">
        <v>4.7</v>
      </c>
      <c r="J50" s="2">
        <v>7</v>
      </c>
      <c r="K50" s="10">
        <f>+$C$3*(1+(I50/100))^10</f>
        <v>1582948.6134645077</v>
      </c>
    </row>
    <row r="51" spans="1:11">
      <c r="A51">
        <v>105</v>
      </c>
      <c r="B51" s="2" t="s">
        <v>100</v>
      </c>
      <c r="C51" s="2" t="s">
        <v>102</v>
      </c>
      <c r="D51" s="2">
        <v>7</v>
      </c>
      <c r="E51" s="3">
        <v>100000</v>
      </c>
      <c r="F51" s="9">
        <v>0.25</v>
      </c>
      <c r="G51" s="9">
        <v>4.7</v>
      </c>
      <c r="H51" s="9">
        <v>0</v>
      </c>
      <c r="I51" s="12">
        <v>4.7</v>
      </c>
      <c r="J51" s="2">
        <v>7</v>
      </c>
      <c r="K51" s="10">
        <f>+$C$3*(1+(I51/100))^10</f>
        <v>1582948.6134645077</v>
      </c>
    </row>
    <row r="52" spans="1:11">
      <c r="A52">
        <v>143</v>
      </c>
      <c r="B52" s="2" t="s">
        <v>38</v>
      </c>
      <c r="C52" s="2" t="s">
        <v>119</v>
      </c>
      <c r="D52" s="2">
        <v>5</v>
      </c>
      <c r="E52" s="3">
        <v>100000</v>
      </c>
      <c r="F52" s="9">
        <v>0.25</v>
      </c>
      <c r="G52" s="9">
        <v>4.7</v>
      </c>
      <c r="H52" s="9">
        <v>0</v>
      </c>
      <c r="I52" s="12">
        <v>4.7</v>
      </c>
      <c r="J52" s="2">
        <v>5</v>
      </c>
      <c r="K52" s="10">
        <f>+$C$3*(1+(I52/100))^10</f>
        <v>1582948.6134645077</v>
      </c>
    </row>
    <row r="53" spans="1:11">
      <c r="A53">
        <v>147</v>
      </c>
      <c r="B53" s="2" t="s">
        <v>44</v>
      </c>
      <c r="C53" s="2" t="s">
        <v>45</v>
      </c>
      <c r="D53" s="2">
        <v>5</v>
      </c>
      <c r="E53" s="3">
        <v>100000</v>
      </c>
      <c r="F53" s="9">
        <v>0.05</v>
      </c>
      <c r="G53" s="9">
        <v>4.7</v>
      </c>
      <c r="H53" s="9">
        <v>0</v>
      </c>
      <c r="I53" s="12">
        <v>4.7</v>
      </c>
      <c r="J53" s="2">
        <v>5</v>
      </c>
      <c r="K53" s="10">
        <f>+$C$3*(1+(I53/100))^10</f>
        <v>1582948.6134645077</v>
      </c>
    </row>
    <row r="54" spans="1:11">
      <c r="A54">
        <v>181</v>
      </c>
      <c r="B54" s="2" t="s">
        <v>21</v>
      </c>
      <c r="C54" s="2" t="s">
        <v>66</v>
      </c>
      <c r="D54" s="2">
        <v>5</v>
      </c>
      <c r="E54" s="3">
        <v>100000</v>
      </c>
      <c r="F54" s="9">
        <v>0.5</v>
      </c>
      <c r="G54" s="9">
        <v>4.7</v>
      </c>
      <c r="H54" s="9">
        <v>0</v>
      </c>
      <c r="I54" s="12">
        <v>4.7</v>
      </c>
      <c r="J54" s="2">
        <v>7</v>
      </c>
      <c r="K54" s="10">
        <f>+$C$3*(1+(I54/100))^10</f>
        <v>1582948.6134645077</v>
      </c>
    </row>
    <row r="55" spans="1:11" ht="18" customHeight="1">
      <c r="A55">
        <v>85</v>
      </c>
      <c r="B55" s="2" t="s">
        <v>80</v>
      </c>
      <c r="C55" s="2" t="s">
        <v>83</v>
      </c>
      <c r="D55" s="2">
        <v>7</v>
      </c>
      <c r="E55" s="3">
        <v>100000</v>
      </c>
      <c r="F55" s="9">
        <v>1</v>
      </c>
      <c r="G55" s="9">
        <v>4.6500000000000004</v>
      </c>
      <c r="H55" s="9">
        <v>0</v>
      </c>
      <c r="I55" s="12">
        <v>4.6500000000000004</v>
      </c>
      <c r="J55" s="2">
        <v>7</v>
      </c>
      <c r="K55" s="10">
        <f>+$C$3*(1+(I55/100))^10</f>
        <v>1575405.3890620547</v>
      </c>
    </row>
    <row r="56" spans="1:11">
      <c r="A56">
        <v>201</v>
      </c>
      <c r="B56" s="2" t="s">
        <v>23</v>
      </c>
      <c r="C56" s="2" t="s">
        <v>134</v>
      </c>
      <c r="D56" s="2">
        <v>5</v>
      </c>
      <c r="E56" s="3">
        <v>10000</v>
      </c>
      <c r="F56" s="9">
        <v>3</v>
      </c>
      <c r="G56" s="9">
        <v>4.6500000000000004</v>
      </c>
      <c r="H56" s="9">
        <v>0</v>
      </c>
      <c r="I56" s="12">
        <v>4.6500000000000004</v>
      </c>
      <c r="J56" s="2">
        <v>5</v>
      </c>
      <c r="K56" s="10">
        <f>+$C$3*(1+(I56/100))^10</f>
        <v>1575405.3890620547</v>
      </c>
    </row>
    <row r="57" spans="1:11">
      <c r="A57">
        <v>301</v>
      </c>
      <c r="B57" s="2" t="s">
        <v>186</v>
      </c>
      <c r="C57" s="2" t="s">
        <v>64</v>
      </c>
      <c r="D57" s="2">
        <v>3</v>
      </c>
      <c r="E57" s="3">
        <v>100000</v>
      </c>
      <c r="F57" s="9">
        <v>0.1</v>
      </c>
      <c r="G57" s="9">
        <v>4.6500000000000004</v>
      </c>
      <c r="H57" s="9">
        <v>0</v>
      </c>
      <c r="I57" s="12">
        <v>4.6500000000000004</v>
      </c>
      <c r="J57" s="2">
        <v>3</v>
      </c>
      <c r="K57" s="10">
        <f>+$C$3*(1+(I57/100))^10</f>
        <v>1575405.3890620547</v>
      </c>
    </row>
    <row r="58" spans="1:11">
      <c r="A58">
        <v>37</v>
      </c>
      <c r="B58" s="2" t="s">
        <v>44</v>
      </c>
      <c r="C58" s="2" t="s">
        <v>45</v>
      </c>
      <c r="D58" s="2">
        <v>7</v>
      </c>
      <c r="E58" s="3">
        <v>100000</v>
      </c>
      <c r="F58" s="9">
        <v>0.05</v>
      </c>
      <c r="G58" s="9">
        <v>4.5999999999999996</v>
      </c>
      <c r="H58" s="9">
        <v>0</v>
      </c>
      <c r="I58" s="12">
        <v>4.5999999999999996</v>
      </c>
      <c r="J58" s="2">
        <v>7</v>
      </c>
      <c r="K58" s="10">
        <f>+$C$3*(1+(I58/100))^10</f>
        <v>1567894.5312418265</v>
      </c>
    </row>
    <row r="59" spans="1:11">
      <c r="A59">
        <v>59</v>
      </c>
      <c r="B59" s="2" t="s">
        <v>60</v>
      </c>
      <c r="C59" s="2" t="s">
        <v>61</v>
      </c>
      <c r="D59" s="2">
        <v>7</v>
      </c>
      <c r="E59" s="3">
        <v>100000</v>
      </c>
      <c r="F59" s="9">
        <v>2.4500000000000002</v>
      </c>
      <c r="G59" s="9">
        <v>4.5999999999999996</v>
      </c>
      <c r="H59" s="9">
        <v>0</v>
      </c>
      <c r="I59" s="12">
        <v>4.5999999999999996</v>
      </c>
      <c r="J59" s="2">
        <v>7</v>
      </c>
      <c r="K59" s="10">
        <f>+$C$3*(1+(I59/100))^10</f>
        <v>1567894.5312418265</v>
      </c>
    </row>
    <row r="60" spans="1:11">
      <c r="A60">
        <v>63</v>
      </c>
      <c r="B60" s="2" t="s">
        <v>187</v>
      </c>
      <c r="C60" s="2" t="s">
        <v>27</v>
      </c>
      <c r="D60" s="2">
        <v>7</v>
      </c>
      <c r="E60" s="3">
        <v>100000</v>
      </c>
      <c r="F60" s="9">
        <v>1</v>
      </c>
      <c r="G60" s="9">
        <v>4.5999999999999996</v>
      </c>
      <c r="H60" s="9">
        <v>0</v>
      </c>
      <c r="I60" s="12">
        <v>4.5999999999999996</v>
      </c>
      <c r="J60" s="2">
        <v>7</v>
      </c>
      <c r="K60" s="10">
        <f>+$C$3*(1+(I60/100))^10</f>
        <v>1567894.5312418265</v>
      </c>
    </row>
    <row r="61" spans="1:11">
      <c r="A61">
        <v>207</v>
      </c>
      <c r="B61" s="2" t="s">
        <v>80</v>
      </c>
      <c r="C61" s="2" t="s">
        <v>137</v>
      </c>
      <c r="D61" s="2">
        <v>5</v>
      </c>
      <c r="E61" s="3">
        <v>100000</v>
      </c>
      <c r="F61" s="9">
        <v>1</v>
      </c>
      <c r="G61" s="9">
        <v>4.5999999999999996</v>
      </c>
      <c r="H61" s="9">
        <v>0</v>
      </c>
      <c r="I61" s="12">
        <v>4.5999999999999996</v>
      </c>
      <c r="J61" s="2">
        <v>5</v>
      </c>
      <c r="K61" s="10">
        <f>+$C$3*(1+(I61/100))^10</f>
        <v>1567894.5312418265</v>
      </c>
    </row>
    <row r="62" spans="1:11">
      <c r="A62">
        <v>275</v>
      </c>
      <c r="B62" s="2" t="s">
        <v>38</v>
      </c>
      <c r="C62" s="2" t="s">
        <v>157</v>
      </c>
      <c r="D62" s="2">
        <v>3</v>
      </c>
      <c r="E62" s="3">
        <v>100000</v>
      </c>
      <c r="F62" s="9">
        <v>0.25</v>
      </c>
      <c r="G62" s="9">
        <v>4.5999999999999996</v>
      </c>
      <c r="H62" s="9">
        <v>0</v>
      </c>
      <c r="I62" s="12">
        <v>4.5999999999999996</v>
      </c>
      <c r="J62" s="2">
        <v>3</v>
      </c>
      <c r="K62" s="10">
        <f>+$C$3*(1+(I62/100))^10</f>
        <v>1567894.5312418265</v>
      </c>
    </row>
    <row r="63" spans="1:11">
      <c r="A63">
        <v>339</v>
      </c>
      <c r="B63" s="2" t="s">
        <v>100</v>
      </c>
      <c r="C63" s="2" t="s">
        <v>174</v>
      </c>
      <c r="D63" s="2">
        <v>3</v>
      </c>
      <c r="E63" s="3">
        <v>100000</v>
      </c>
      <c r="F63" s="9">
        <v>0.25</v>
      </c>
      <c r="G63" s="9">
        <v>4.5999999999999996</v>
      </c>
      <c r="H63" s="9">
        <v>0</v>
      </c>
      <c r="I63" s="12">
        <v>4.5999999999999996</v>
      </c>
      <c r="J63" s="2">
        <v>3</v>
      </c>
      <c r="K63" s="10">
        <f>+$C$3*(1+(I63/100))^10</f>
        <v>1567894.5312418265</v>
      </c>
    </row>
    <row r="64" spans="1:11">
      <c r="A64">
        <v>265</v>
      </c>
      <c r="B64" s="2" t="s">
        <v>30</v>
      </c>
      <c r="C64" s="2" t="s">
        <v>114</v>
      </c>
      <c r="D64" s="2">
        <v>3</v>
      </c>
      <c r="E64" s="3">
        <v>100000</v>
      </c>
      <c r="F64" s="9">
        <v>1</v>
      </c>
      <c r="G64" s="9">
        <v>4.5999999999999996</v>
      </c>
      <c r="H64" s="9">
        <v>0.4</v>
      </c>
      <c r="I64" s="12">
        <v>3.3809999999999998</v>
      </c>
      <c r="J64" s="2">
        <v>5</v>
      </c>
      <c r="K64" s="10">
        <f>+$C$3*(1+(I64/100))^10</f>
        <v>1394463.9383526465</v>
      </c>
    </row>
    <row r="65" spans="1:11">
      <c r="A65">
        <v>269</v>
      </c>
      <c r="B65" s="2" t="s">
        <v>30</v>
      </c>
      <c r="C65" s="2" t="s">
        <v>31</v>
      </c>
      <c r="D65" s="2">
        <v>3</v>
      </c>
      <c r="E65" s="3">
        <v>100000</v>
      </c>
      <c r="F65" s="9">
        <v>1</v>
      </c>
      <c r="G65" s="9">
        <v>4.5999999999999996</v>
      </c>
      <c r="H65" s="9">
        <v>0.6</v>
      </c>
      <c r="I65" s="12">
        <v>2.7789999999999999</v>
      </c>
      <c r="J65" s="2">
        <v>7</v>
      </c>
      <c r="K65" s="10">
        <f>+$C$3*(1+(I65/100))^10</f>
        <v>1315357.7213660907</v>
      </c>
    </row>
    <row r="66" spans="1:11">
      <c r="A66">
        <v>89</v>
      </c>
      <c r="B66" s="2" t="s">
        <v>80</v>
      </c>
      <c r="C66" s="2" t="s">
        <v>87</v>
      </c>
      <c r="D66" s="2">
        <v>7</v>
      </c>
      <c r="E66" s="3">
        <v>100000</v>
      </c>
      <c r="F66" s="9">
        <v>1</v>
      </c>
      <c r="G66" s="9">
        <v>4.55</v>
      </c>
      <c r="H66" s="9">
        <v>0</v>
      </c>
      <c r="I66" s="12">
        <v>4.55</v>
      </c>
      <c r="J66" s="2">
        <v>7</v>
      </c>
      <c r="K66" s="10">
        <f>+$C$3*(1+(I66/100))^10</f>
        <v>1560415.9164968939</v>
      </c>
    </row>
    <row r="67" spans="1:11">
      <c r="A67">
        <v>189</v>
      </c>
      <c r="B67" s="2" t="s">
        <v>72</v>
      </c>
      <c r="C67" s="2" t="s">
        <v>73</v>
      </c>
      <c r="D67" s="2">
        <v>5</v>
      </c>
      <c r="E67" s="3">
        <v>100000</v>
      </c>
      <c r="F67" s="9">
        <v>1.7</v>
      </c>
      <c r="G67" s="9">
        <v>4.55</v>
      </c>
      <c r="H67" s="9">
        <v>0</v>
      </c>
      <c r="I67" s="12">
        <v>4.55</v>
      </c>
      <c r="J67" s="2">
        <v>5</v>
      </c>
      <c r="K67" s="10">
        <f>+$C$3*(1+(I67/100))^10</f>
        <v>1560415.9164968939</v>
      </c>
    </row>
    <row r="68" spans="1:11">
      <c r="A68">
        <v>227</v>
      </c>
      <c r="B68" s="2" t="s">
        <v>100</v>
      </c>
      <c r="C68" s="2" t="s">
        <v>143</v>
      </c>
      <c r="D68" s="2">
        <v>5</v>
      </c>
      <c r="E68" s="3">
        <v>100000</v>
      </c>
      <c r="F68" s="9">
        <v>0.25</v>
      </c>
      <c r="G68" s="9">
        <v>4.55</v>
      </c>
      <c r="H68" s="9">
        <v>0</v>
      </c>
      <c r="I68" s="12">
        <v>4.55</v>
      </c>
      <c r="J68" s="2">
        <v>5</v>
      </c>
      <c r="K68" s="10">
        <f>+$C$3*(1+(I68/100))^10</f>
        <v>1560415.9164968939</v>
      </c>
    </row>
    <row r="69" spans="1:11" ht="18" customHeight="1">
      <c r="A69">
        <v>321</v>
      </c>
      <c r="B69" s="2" t="s">
        <v>80</v>
      </c>
      <c r="C69" s="2" t="s">
        <v>169</v>
      </c>
      <c r="D69" s="2">
        <v>3</v>
      </c>
      <c r="E69" s="3">
        <v>100000</v>
      </c>
      <c r="F69" s="9">
        <v>1</v>
      </c>
      <c r="G69" s="9">
        <v>4.55</v>
      </c>
      <c r="H69" s="9">
        <v>0</v>
      </c>
      <c r="I69" s="12">
        <v>4.55</v>
      </c>
      <c r="J69" s="2">
        <v>3</v>
      </c>
      <c r="K69" s="10">
        <f>+$C$3*(1+(I69/100))^10</f>
        <v>1560415.9164968939</v>
      </c>
    </row>
    <row r="70" spans="1:11">
      <c r="A70">
        <v>329</v>
      </c>
      <c r="B70" s="2" t="s">
        <v>89</v>
      </c>
      <c r="C70" s="2" t="s">
        <v>90</v>
      </c>
      <c r="D70" s="2">
        <v>3</v>
      </c>
      <c r="E70" s="3">
        <v>10000</v>
      </c>
      <c r="F70" s="9">
        <v>2.4</v>
      </c>
      <c r="G70" s="9">
        <v>4.55</v>
      </c>
      <c r="H70" s="9">
        <v>0</v>
      </c>
      <c r="I70" s="12">
        <v>4.55</v>
      </c>
      <c r="J70" s="2">
        <v>3</v>
      </c>
      <c r="K70" s="10">
        <f>+$C$3*(1+(I70/100))^10</f>
        <v>1560415.9164968939</v>
      </c>
    </row>
    <row r="71" spans="1:11" ht="18" customHeight="1">
      <c r="A71">
        <v>23</v>
      </c>
      <c r="B71" s="2" t="s">
        <v>30</v>
      </c>
      <c r="C71" s="2" t="s">
        <v>31</v>
      </c>
      <c r="D71" s="2">
        <v>7</v>
      </c>
      <c r="E71" s="3">
        <v>100000</v>
      </c>
      <c r="F71" s="9">
        <v>1</v>
      </c>
      <c r="G71" s="9">
        <v>4.5</v>
      </c>
      <c r="H71" s="9">
        <v>0</v>
      </c>
      <c r="I71" s="12">
        <v>4.5</v>
      </c>
      <c r="J71" s="2">
        <v>7</v>
      </c>
      <c r="K71" s="10">
        <f>+$C$3*(1+(I71/100))^10</f>
        <v>1552969.4217328953</v>
      </c>
    </row>
    <row r="72" spans="1:11">
      <c r="A72">
        <v>131</v>
      </c>
      <c r="B72" s="2" t="s">
        <v>30</v>
      </c>
      <c r="C72" s="2" t="s">
        <v>114</v>
      </c>
      <c r="D72" s="2">
        <v>5</v>
      </c>
      <c r="E72" s="3">
        <v>100000</v>
      </c>
      <c r="F72" s="9">
        <v>1</v>
      </c>
      <c r="G72" s="9">
        <v>4.5</v>
      </c>
      <c r="H72" s="9">
        <v>0</v>
      </c>
      <c r="I72" s="12">
        <v>4.5</v>
      </c>
      <c r="J72" s="2">
        <v>5</v>
      </c>
      <c r="K72" s="10">
        <f>+$C$3*(1+(I72/100))^10</f>
        <v>1552969.4217328953</v>
      </c>
    </row>
    <row r="73" spans="1:11">
      <c r="A73">
        <v>145</v>
      </c>
      <c r="B73" s="2" t="s">
        <v>44</v>
      </c>
      <c r="C73" s="2" t="s">
        <v>45</v>
      </c>
      <c r="D73" s="2">
        <v>5</v>
      </c>
      <c r="E73" s="3">
        <v>100000</v>
      </c>
      <c r="F73" s="9">
        <v>0.05</v>
      </c>
      <c r="G73" s="9">
        <v>4.5</v>
      </c>
      <c r="H73" s="9">
        <v>0</v>
      </c>
      <c r="I73" s="12">
        <v>4.5</v>
      </c>
      <c r="J73" s="2">
        <v>5</v>
      </c>
      <c r="K73" s="10">
        <f>+$C$3*(1+(I73/100))^10</f>
        <v>1552969.4217328953</v>
      </c>
    </row>
    <row r="74" spans="1:11">
      <c r="A74">
        <v>155</v>
      </c>
      <c r="B74" s="2" t="s">
        <v>53</v>
      </c>
      <c r="C74" s="2" t="s">
        <v>124</v>
      </c>
      <c r="D74" s="2">
        <v>5</v>
      </c>
      <c r="E74" s="3">
        <v>100000</v>
      </c>
      <c r="F74" s="9">
        <v>0.1</v>
      </c>
      <c r="G74" s="9">
        <v>4.5</v>
      </c>
      <c r="H74" s="9">
        <v>0</v>
      </c>
      <c r="I74" s="12">
        <v>4.5</v>
      </c>
      <c r="J74" s="2">
        <v>5</v>
      </c>
      <c r="K74" s="10">
        <f>+$C$3*(1+(I74/100))^10</f>
        <v>1552969.4217328953</v>
      </c>
    </row>
    <row r="75" spans="1:11" ht="18" customHeight="1">
      <c r="A75">
        <v>211</v>
      </c>
      <c r="B75" s="2" t="s">
        <v>80</v>
      </c>
      <c r="C75" s="2" t="s">
        <v>139</v>
      </c>
      <c r="D75" s="2">
        <v>5</v>
      </c>
      <c r="E75" s="3">
        <v>100000</v>
      </c>
      <c r="F75" s="9">
        <v>1</v>
      </c>
      <c r="G75" s="9">
        <v>4.5</v>
      </c>
      <c r="H75" s="9">
        <v>0</v>
      </c>
      <c r="I75" s="12">
        <v>4.5</v>
      </c>
      <c r="J75" s="2">
        <v>5</v>
      </c>
      <c r="K75" s="10">
        <f>+$C$3*(1+(I75/100))^10</f>
        <v>1552969.4217328953</v>
      </c>
    </row>
    <row r="76" spans="1:11">
      <c r="A76">
        <v>236</v>
      </c>
      <c r="B76" s="2" t="s">
        <v>30</v>
      </c>
      <c r="C76" s="2" t="s">
        <v>146</v>
      </c>
      <c r="D76" s="2">
        <v>4</v>
      </c>
      <c r="E76" s="3">
        <v>100000</v>
      </c>
      <c r="F76" s="9">
        <v>0.25</v>
      </c>
      <c r="G76" s="9">
        <v>4.5</v>
      </c>
      <c r="H76" s="9">
        <v>0</v>
      </c>
      <c r="I76" s="12">
        <v>4.5</v>
      </c>
      <c r="J76" s="2">
        <v>4</v>
      </c>
      <c r="K76" s="10">
        <f>+$C$3*(1+(I76/100))^10</f>
        <v>1552969.4217328953</v>
      </c>
    </row>
    <row r="77" spans="1:11" ht="18" customHeight="1">
      <c r="A77">
        <v>261</v>
      </c>
      <c r="B77" s="2" t="s">
        <v>30</v>
      </c>
      <c r="C77" s="2" t="s">
        <v>154</v>
      </c>
      <c r="D77" s="2">
        <v>3</v>
      </c>
      <c r="E77" s="3">
        <v>100000</v>
      </c>
      <c r="F77" s="9">
        <v>0.25</v>
      </c>
      <c r="G77" s="9">
        <v>4.5</v>
      </c>
      <c r="H77" s="9">
        <v>0</v>
      </c>
      <c r="I77" s="12">
        <v>4.5</v>
      </c>
      <c r="J77" s="2">
        <v>3</v>
      </c>
      <c r="K77" s="10">
        <f>+$C$3*(1+(I77/100))^10</f>
        <v>1552969.4217328953</v>
      </c>
    </row>
    <row r="78" spans="1:11">
      <c r="A78">
        <v>271</v>
      </c>
      <c r="B78" s="2" t="s">
        <v>36</v>
      </c>
      <c r="C78" s="2" t="s">
        <v>37</v>
      </c>
      <c r="D78" s="2">
        <v>3</v>
      </c>
      <c r="E78" s="3">
        <v>100000</v>
      </c>
      <c r="F78" s="9">
        <v>2.4500000000000002</v>
      </c>
      <c r="G78" s="9">
        <v>4.5</v>
      </c>
      <c r="H78" s="9">
        <v>0</v>
      </c>
      <c r="I78" s="12">
        <v>4.5</v>
      </c>
      <c r="J78" s="2">
        <v>3</v>
      </c>
      <c r="K78" s="10">
        <f>+$C$3*(1+(I78/100))^10</f>
        <v>1552969.4217328953</v>
      </c>
    </row>
    <row r="79" spans="1:11" ht="18" customHeight="1">
      <c r="A79">
        <v>273</v>
      </c>
      <c r="B79" s="2" t="s">
        <v>38</v>
      </c>
      <c r="C79" s="2" t="s">
        <v>155</v>
      </c>
      <c r="D79" s="2">
        <v>3</v>
      </c>
      <c r="E79" s="3">
        <v>100000</v>
      </c>
      <c r="F79" s="9">
        <v>0.25</v>
      </c>
      <c r="G79" s="9">
        <v>4.5</v>
      </c>
      <c r="H79" s="9">
        <v>0</v>
      </c>
      <c r="I79" s="12">
        <v>4.5</v>
      </c>
      <c r="J79" s="2">
        <v>3</v>
      </c>
      <c r="K79" s="10">
        <f>+$C$3*(1+(I79/100))^10</f>
        <v>1552969.4217328953</v>
      </c>
    </row>
    <row r="80" spans="1:11">
      <c r="A80">
        <v>281</v>
      </c>
      <c r="B80" s="2" t="s">
        <v>44</v>
      </c>
      <c r="C80" s="2" t="s">
        <v>45</v>
      </c>
      <c r="D80" s="2">
        <v>3</v>
      </c>
      <c r="E80" s="3">
        <v>100000</v>
      </c>
      <c r="F80" s="9">
        <v>0.05</v>
      </c>
      <c r="G80" s="9">
        <v>4.5</v>
      </c>
      <c r="H80" s="9">
        <v>0</v>
      </c>
      <c r="I80" s="12">
        <v>4.5</v>
      </c>
      <c r="J80" s="2">
        <v>3</v>
      </c>
      <c r="K80" s="10">
        <f>+$C$3*(1+(I80/100))^10</f>
        <v>1552969.4217328953</v>
      </c>
    </row>
    <row r="81" spans="1:11">
      <c r="A81">
        <v>285</v>
      </c>
      <c r="B81" s="2" t="s">
        <v>49</v>
      </c>
      <c r="C81" s="2" t="s">
        <v>50</v>
      </c>
      <c r="D81" s="2">
        <v>3</v>
      </c>
      <c r="E81" s="3">
        <v>100000</v>
      </c>
      <c r="F81" s="9">
        <v>0.25</v>
      </c>
      <c r="G81" s="9">
        <v>4.5</v>
      </c>
      <c r="H81" s="9">
        <v>0</v>
      </c>
      <c r="I81" s="12">
        <v>4.5</v>
      </c>
      <c r="J81" s="2">
        <v>3</v>
      </c>
      <c r="K81" s="10">
        <f>+$C$3*(1+(I81/100))^10</f>
        <v>1552969.4217328953</v>
      </c>
    </row>
    <row r="82" spans="1:11">
      <c r="A82">
        <v>325</v>
      </c>
      <c r="B82" s="2" t="s">
        <v>80</v>
      </c>
      <c r="C82" s="2" t="s">
        <v>171</v>
      </c>
      <c r="D82" s="2">
        <v>3</v>
      </c>
      <c r="E82" s="3">
        <v>100000</v>
      </c>
      <c r="F82" s="9">
        <v>1</v>
      </c>
      <c r="G82" s="9">
        <v>4.5</v>
      </c>
      <c r="H82" s="9">
        <v>0</v>
      </c>
      <c r="I82" s="12">
        <v>4.5</v>
      </c>
      <c r="J82" s="2">
        <v>3</v>
      </c>
      <c r="K82" s="10">
        <f>+$C$3*(1+(I82/100))^10</f>
        <v>1552969.4217328953</v>
      </c>
    </row>
    <row r="83" spans="1:11">
      <c r="A83">
        <v>343</v>
      </c>
      <c r="B83" s="2" t="s">
        <v>100</v>
      </c>
      <c r="C83" s="2" t="s">
        <v>175</v>
      </c>
      <c r="D83" s="2">
        <v>3</v>
      </c>
      <c r="E83" s="3">
        <v>100000</v>
      </c>
      <c r="F83" s="9">
        <v>0.25</v>
      </c>
      <c r="G83" s="9">
        <v>4.5</v>
      </c>
      <c r="H83" s="9">
        <v>0</v>
      </c>
      <c r="I83" s="12">
        <v>4.5</v>
      </c>
      <c r="J83" s="2">
        <v>3</v>
      </c>
      <c r="K83" s="10">
        <f>+$C$3*(1+(I83/100))^10</f>
        <v>1552969.4217328953</v>
      </c>
    </row>
    <row r="84" spans="1:11">
      <c r="A84">
        <v>21</v>
      </c>
      <c r="B84" s="2" t="s">
        <v>30</v>
      </c>
      <c r="C84" s="2" t="s">
        <v>31</v>
      </c>
      <c r="D84" s="2">
        <v>7</v>
      </c>
      <c r="E84" s="3">
        <v>100000</v>
      </c>
      <c r="F84" s="9">
        <v>1</v>
      </c>
      <c r="G84" s="9">
        <v>4.45</v>
      </c>
      <c r="H84" s="9">
        <v>0</v>
      </c>
      <c r="I84" s="12">
        <v>4.45</v>
      </c>
      <c r="J84" s="2">
        <v>7</v>
      </c>
      <c r="K84" s="10">
        <f>+$C$3*(1+(I84/100))^10</f>
        <v>1545554.9242668746</v>
      </c>
    </row>
    <row r="85" spans="1:11">
      <c r="A85">
        <v>27</v>
      </c>
      <c r="B85" s="2" t="s">
        <v>30</v>
      </c>
      <c r="C85" s="2" t="s">
        <v>31</v>
      </c>
      <c r="D85" s="2">
        <v>7</v>
      </c>
      <c r="E85" s="3">
        <v>100000</v>
      </c>
      <c r="F85" s="9">
        <v>1</v>
      </c>
      <c r="G85" s="9">
        <v>4.45</v>
      </c>
      <c r="H85" s="9">
        <v>0</v>
      </c>
      <c r="I85" s="12">
        <v>4.45</v>
      </c>
      <c r="J85" s="2">
        <v>7</v>
      </c>
      <c r="K85" s="10">
        <f>+$C$3*(1+(I85/100))^10</f>
        <v>1545554.9242668746</v>
      </c>
    </row>
    <row r="86" spans="1:11">
      <c r="A86">
        <v>41</v>
      </c>
      <c r="B86" s="2" t="s">
        <v>44</v>
      </c>
      <c r="C86" s="2" t="s">
        <v>45</v>
      </c>
      <c r="D86" s="2">
        <v>7</v>
      </c>
      <c r="E86" s="3">
        <v>100000</v>
      </c>
      <c r="F86" s="9">
        <v>0.05</v>
      </c>
      <c r="G86" s="9">
        <v>4.45</v>
      </c>
      <c r="H86" s="9">
        <v>0</v>
      </c>
      <c r="I86" s="12">
        <v>4.45</v>
      </c>
      <c r="J86" s="2">
        <v>7</v>
      </c>
      <c r="K86" s="10">
        <f>+$C$3*(1+(I86/100))^10</f>
        <v>1545554.9242668746</v>
      </c>
    </row>
    <row r="87" spans="1:11">
      <c r="A87">
        <v>55</v>
      </c>
      <c r="B87" s="2" t="s">
        <v>58</v>
      </c>
      <c r="C87" s="2" t="s">
        <v>59</v>
      </c>
      <c r="D87" s="2">
        <v>7</v>
      </c>
      <c r="E87" s="3">
        <v>100000</v>
      </c>
      <c r="F87" s="9">
        <v>2.4</v>
      </c>
      <c r="G87" s="9">
        <v>4.45</v>
      </c>
      <c r="H87" s="9">
        <v>0</v>
      </c>
      <c r="I87" s="12">
        <v>4.45</v>
      </c>
      <c r="J87" s="2">
        <v>7</v>
      </c>
      <c r="K87" s="10">
        <f>+$C$3*(1+(I87/100))^10</f>
        <v>1545554.9242668746</v>
      </c>
    </row>
    <row r="88" spans="1:11">
      <c r="A88">
        <v>95</v>
      </c>
      <c r="B88" s="2" t="s">
        <v>94</v>
      </c>
      <c r="C88" s="2" t="s">
        <v>95</v>
      </c>
      <c r="D88" s="2">
        <v>7</v>
      </c>
      <c r="E88" s="3">
        <v>100000</v>
      </c>
      <c r="F88" s="9">
        <v>0.1</v>
      </c>
      <c r="G88" s="9">
        <v>4.45</v>
      </c>
      <c r="H88" s="9">
        <v>0</v>
      </c>
      <c r="I88" s="12">
        <v>4.45</v>
      </c>
      <c r="J88" s="2">
        <v>7</v>
      </c>
      <c r="K88" s="10">
        <f>+$C$3*(1+(I88/100))^10</f>
        <v>1545554.9242668746</v>
      </c>
    </row>
    <row r="89" spans="1:11">
      <c r="A89">
        <v>129</v>
      </c>
      <c r="B89" s="2" t="s">
        <v>30</v>
      </c>
      <c r="C89" s="2" t="s">
        <v>114</v>
      </c>
      <c r="D89" s="2">
        <v>5</v>
      </c>
      <c r="E89" s="3">
        <v>100000</v>
      </c>
      <c r="F89" s="9">
        <v>1</v>
      </c>
      <c r="G89" s="9">
        <v>4.45</v>
      </c>
      <c r="H89" s="9">
        <v>0</v>
      </c>
      <c r="I89" s="12">
        <v>4.45</v>
      </c>
      <c r="J89" s="2">
        <v>5</v>
      </c>
      <c r="K89" s="10">
        <f>+$C$3*(1+(I89/100))^10</f>
        <v>1545554.9242668746</v>
      </c>
    </row>
    <row r="90" spans="1:11">
      <c r="A90">
        <v>135</v>
      </c>
      <c r="B90" s="2" t="s">
        <v>30</v>
      </c>
      <c r="C90" s="2" t="s">
        <v>114</v>
      </c>
      <c r="D90" s="2">
        <v>5</v>
      </c>
      <c r="E90" s="3">
        <v>100000</v>
      </c>
      <c r="F90" s="9">
        <v>1</v>
      </c>
      <c r="G90" s="9">
        <v>4.45</v>
      </c>
      <c r="H90" s="9">
        <v>0</v>
      </c>
      <c r="I90" s="12">
        <v>4.45</v>
      </c>
      <c r="J90" s="2">
        <v>5</v>
      </c>
      <c r="K90" s="10">
        <f>+$C$3*(1+(I90/100))^10</f>
        <v>1545554.9242668746</v>
      </c>
    </row>
    <row r="91" spans="1:11">
      <c r="A91">
        <v>217</v>
      </c>
      <c r="B91" s="2" t="s">
        <v>94</v>
      </c>
      <c r="C91" s="2" t="s">
        <v>141</v>
      </c>
      <c r="D91" s="2">
        <v>5</v>
      </c>
      <c r="E91" s="3">
        <v>100000</v>
      </c>
      <c r="F91" s="9">
        <v>0.1</v>
      </c>
      <c r="G91" s="9">
        <v>4.45</v>
      </c>
      <c r="H91" s="9">
        <v>0</v>
      </c>
      <c r="I91" s="12">
        <v>4.45</v>
      </c>
      <c r="J91" s="2">
        <v>5</v>
      </c>
      <c r="K91" s="10">
        <f>+$C$3*(1+(I91/100))^10</f>
        <v>1545554.9242668746</v>
      </c>
    </row>
    <row r="92" spans="1:11">
      <c r="A92">
        <v>323</v>
      </c>
      <c r="B92" s="2" t="s">
        <v>80</v>
      </c>
      <c r="C92" s="2" t="s">
        <v>170</v>
      </c>
      <c r="D92" s="2">
        <v>3</v>
      </c>
      <c r="E92" s="3">
        <v>100000</v>
      </c>
      <c r="F92" s="9">
        <v>1</v>
      </c>
      <c r="G92" s="9">
        <v>4.45</v>
      </c>
      <c r="H92" s="9">
        <v>0</v>
      </c>
      <c r="I92" s="12">
        <v>4.45</v>
      </c>
      <c r="J92" s="2">
        <v>3</v>
      </c>
      <c r="K92" s="10">
        <f>+$C$3*(1+(I92/100))^10</f>
        <v>1545554.9242668746</v>
      </c>
    </row>
    <row r="93" spans="1:11">
      <c r="A93">
        <v>97</v>
      </c>
      <c r="B93" s="2" t="s">
        <v>94</v>
      </c>
      <c r="C93" s="2" t="s">
        <v>95</v>
      </c>
      <c r="D93" s="2">
        <v>7</v>
      </c>
      <c r="E93" s="3">
        <v>100000</v>
      </c>
      <c r="F93" s="9">
        <v>0.1</v>
      </c>
      <c r="G93" s="9">
        <v>4.4000000000000004</v>
      </c>
      <c r="H93" s="9">
        <v>0</v>
      </c>
      <c r="I93" s="12">
        <v>4.4000000000000004</v>
      </c>
      <c r="J93" s="2">
        <v>7</v>
      </c>
      <c r="K93" s="10">
        <f>+$C$3*(1+(I93/100))^10</f>
        <v>1538172.3018260738</v>
      </c>
    </row>
    <row r="94" spans="1:11">
      <c r="A94">
        <v>118</v>
      </c>
      <c r="B94" s="2" t="s">
        <v>60</v>
      </c>
      <c r="C94" s="2" t="s">
        <v>61</v>
      </c>
      <c r="D94" s="2">
        <v>6</v>
      </c>
      <c r="E94" s="3">
        <v>100000</v>
      </c>
      <c r="F94" s="9">
        <v>2.4500000000000002</v>
      </c>
      <c r="G94" s="9">
        <v>4.4000000000000004</v>
      </c>
      <c r="H94" s="9">
        <v>0</v>
      </c>
      <c r="I94" s="12">
        <v>4.4000000000000004</v>
      </c>
      <c r="J94" s="2">
        <v>6</v>
      </c>
      <c r="K94" s="10">
        <f>+$C$3*(1+(I94/100))^10</f>
        <v>1538172.3018260738</v>
      </c>
    </row>
    <row r="95" spans="1:11">
      <c r="A95">
        <v>133</v>
      </c>
      <c r="B95" s="2" t="s">
        <v>30</v>
      </c>
      <c r="C95" s="2" t="s">
        <v>114</v>
      </c>
      <c r="D95" s="2">
        <v>5</v>
      </c>
      <c r="E95" s="3">
        <v>100000</v>
      </c>
      <c r="F95" s="9">
        <v>1</v>
      </c>
      <c r="G95" s="9">
        <v>4.4000000000000004</v>
      </c>
      <c r="H95" s="9">
        <v>0</v>
      </c>
      <c r="I95" s="12">
        <v>4.4000000000000004</v>
      </c>
      <c r="J95" s="2">
        <v>5</v>
      </c>
      <c r="K95" s="10">
        <f>+$C$3*(1+(I95/100))^10</f>
        <v>1538172.3018260738</v>
      </c>
    </row>
    <row r="96" spans="1:11">
      <c r="A96">
        <v>173</v>
      </c>
      <c r="B96" s="2" t="s">
        <v>187</v>
      </c>
      <c r="C96" s="2" t="s">
        <v>27</v>
      </c>
      <c r="D96" s="2">
        <v>5</v>
      </c>
      <c r="E96" s="3">
        <v>100000</v>
      </c>
      <c r="F96" s="9">
        <v>1</v>
      </c>
      <c r="G96" s="9">
        <v>4.4000000000000004</v>
      </c>
      <c r="H96" s="9">
        <v>0</v>
      </c>
      <c r="I96" s="12">
        <v>4.4000000000000004</v>
      </c>
      <c r="J96" s="2">
        <v>5</v>
      </c>
      <c r="K96" s="10">
        <f>+$C$3*(1+(I96/100))^10</f>
        <v>1538172.3018260738</v>
      </c>
    </row>
    <row r="97" spans="1:11">
      <c r="A97">
        <v>219</v>
      </c>
      <c r="B97" s="2" t="s">
        <v>94</v>
      </c>
      <c r="C97" s="2" t="s">
        <v>141</v>
      </c>
      <c r="D97" s="2">
        <v>5</v>
      </c>
      <c r="E97" s="3">
        <v>100000</v>
      </c>
      <c r="F97" s="9">
        <v>0.1</v>
      </c>
      <c r="G97" s="9">
        <v>4.4000000000000004</v>
      </c>
      <c r="H97" s="9">
        <v>0</v>
      </c>
      <c r="I97" s="12">
        <v>4.4000000000000004</v>
      </c>
      <c r="J97" s="2">
        <v>5</v>
      </c>
      <c r="K97" s="10">
        <f>+$C$3*(1+(I97/100))^10</f>
        <v>1538172.3018260738</v>
      </c>
    </row>
    <row r="98" spans="1:11">
      <c r="A98">
        <v>277</v>
      </c>
      <c r="B98" s="2" t="s">
        <v>38</v>
      </c>
      <c r="C98" s="2" t="s">
        <v>159</v>
      </c>
      <c r="D98" s="2">
        <v>3</v>
      </c>
      <c r="E98" s="3">
        <v>100000</v>
      </c>
      <c r="F98" s="9">
        <v>0.25</v>
      </c>
      <c r="G98" s="9">
        <v>4.4000000000000004</v>
      </c>
      <c r="H98" s="9">
        <v>0</v>
      </c>
      <c r="I98" s="12">
        <v>4.4000000000000004</v>
      </c>
      <c r="J98" s="2">
        <v>3</v>
      </c>
      <c r="K98" s="10">
        <f>+$C$3*(1+(I98/100))^10</f>
        <v>1538172.3018260738</v>
      </c>
    </row>
    <row r="99" spans="1:11">
      <c r="A99">
        <v>317</v>
      </c>
      <c r="B99" s="2" t="s">
        <v>72</v>
      </c>
      <c r="C99" s="2" t="s">
        <v>73</v>
      </c>
      <c r="D99" s="2">
        <v>3</v>
      </c>
      <c r="E99" s="3">
        <v>100000</v>
      </c>
      <c r="F99" s="9">
        <v>1.7</v>
      </c>
      <c r="G99" s="9">
        <v>4.4000000000000004</v>
      </c>
      <c r="H99" s="9">
        <v>0</v>
      </c>
      <c r="I99" s="12">
        <v>4.4000000000000004</v>
      </c>
      <c r="J99" s="2">
        <v>3</v>
      </c>
      <c r="K99" s="10">
        <f>+$C$3*(1+(I99/100))^10</f>
        <v>1538172.3018260738</v>
      </c>
    </row>
    <row r="100" spans="1:11">
      <c r="A100">
        <v>73</v>
      </c>
      <c r="B100" s="2" t="s">
        <v>69</v>
      </c>
      <c r="C100" s="2" t="s">
        <v>71</v>
      </c>
      <c r="D100" s="2">
        <v>7</v>
      </c>
      <c r="E100" s="3">
        <v>100000</v>
      </c>
      <c r="F100" s="9">
        <v>0.05</v>
      </c>
      <c r="G100" s="9">
        <v>4.3499999999999996</v>
      </c>
      <c r="H100" s="9">
        <v>0</v>
      </c>
      <c r="I100" s="12">
        <v>4.3499999999999996</v>
      </c>
      <c r="J100" s="2">
        <v>7</v>
      </c>
      <c r="K100" s="10">
        <f>+$C$3*(1+(I100/100))^10</f>
        <v>1530821.4325467767</v>
      </c>
    </row>
    <row r="101" spans="1:11" ht="18" customHeight="1">
      <c r="A101">
        <v>99</v>
      </c>
      <c r="B101" s="2" t="s">
        <v>94</v>
      </c>
      <c r="C101" s="2" t="s">
        <v>95</v>
      </c>
      <c r="D101" s="2">
        <v>7</v>
      </c>
      <c r="E101" s="3">
        <v>100000</v>
      </c>
      <c r="F101" s="9">
        <v>0.1</v>
      </c>
      <c r="G101" s="9">
        <v>4.3499999999999996</v>
      </c>
      <c r="H101" s="9">
        <v>0</v>
      </c>
      <c r="I101" s="12">
        <v>4.3499999999999996</v>
      </c>
      <c r="J101" s="2">
        <v>7</v>
      </c>
      <c r="K101" s="10">
        <f>+$C$3*(1+(I101/100))^10</f>
        <v>1530821.4325467767</v>
      </c>
    </row>
    <row r="102" spans="1:11">
      <c r="A102">
        <v>114</v>
      </c>
      <c r="B102" s="2" t="s">
        <v>111</v>
      </c>
      <c r="C102" s="2" t="s">
        <v>112</v>
      </c>
      <c r="D102" s="2">
        <v>6</v>
      </c>
      <c r="E102" s="3">
        <v>100000</v>
      </c>
      <c r="F102" s="9">
        <v>2.7</v>
      </c>
      <c r="G102" s="9">
        <v>4.3499999999999996</v>
      </c>
      <c r="H102" s="9">
        <v>0</v>
      </c>
      <c r="I102" s="12">
        <v>4.3499999999999996</v>
      </c>
      <c r="J102" s="2">
        <v>6</v>
      </c>
      <c r="K102" s="10">
        <f>+$C$3*(1+(I102/100))^10</f>
        <v>1530821.4325467767</v>
      </c>
    </row>
    <row r="103" spans="1:11" ht="18" customHeight="1">
      <c r="A103">
        <v>124</v>
      </c>
      <c r="B103" s="2" t="s">
        <v>69</v>
      </c>
      <c r="C103" s="2" t="s">
        <v>71</v>
      </c>
      <c r="D103" s="2">
        <v>6</v>
      </c>
      <c r="E103" s="3">
        <v>100000</v>
      </c>
      <c r="F103" s="9">
        <v>0.05</v>
      </c>
      <c r="G103" s="9">
        <v>4.3499999999999996</v>
      </c>
      <c r="H103" s="9">
        <v>0</v>
      </c>
      <c r="I103" s="12">
        <v>4.3499999999999996</v>
      </c>
      <c r="J103" s="2">
        <v>6</v>
      </c>
      <c r="K103" s="10">
        <f>+$C$3*(1+(I103/100))^10</f>
        <v>1530821.4325467767</v>
      </c>
    </row>
    <row r="104" spans="1:11">
      <c r="A104">
        <v>165</v>
      </c>
      <c r="B104" s="2" t="s">
        <v>58</v>
      </c>
      <c r="C104" s="2" t="s">
        <v>59</v>
      </c>
      <c r="D104" s="2">
        <v>5</v>
      </c>
      <c r="E104" s="3">
        <v>100000</v>
      </c>
      <c r="F104" s="9">
        <v>2.4</v>
      </c>
      <c r="G104" s="9">
        <v>4.3499999999999996</v>
      </c>
      <c r="H104" s="9">
        <v>0</v>
      </c>
      <c r="I104" s="12">
        <v>4.3499999999999996</v>
      </c>
      <c r="J104" s="2">
        <v>5</v>
      </c>
      <c r="K104" s="10">
        <f>+$C$3*(1+(I104/100))^10</f>
        <v>1530821.4325467767</v>
      </c>
    </row>
    <row r="105" spans="1:11" ht="18" customHeight="1">
      <c r="A105">
        <v>169</v>
      </c>
      <c r="B105" s="2" t="s">
        <v>60</v>
      </c>
      <c r="C105" s="2" t="s">
        <v>61</v>
      </c>
      <c r="D105" s="2">
        <v>5</v>
      </c>
      <c r="E105" s="3">
        <v>100000</v>
      </c>
      <c r="F105" s="9">
        <v>2.4500000000000002</v>
      </c>
      <c r="G105" s="9">
        <v>4.3499999999999996</v>
      </c>
      <c r="H105" s="9">
        <v>0</v>
      </c>
      <c r="I105" s="12">
        <v>4.3499999999999996</v>
      </c>
      <c r="J105" s="2">
        <v>5</v>
      </c>
      <c r="K105" s="10">
        <f>+$C$3*(1+(I105/100))^10</f>
        <v>1530821.4325467767</v>
      </c>
    </row>
    <row r="106" spans="1:11">
      <c r="A106">
        <v>187</v>
      </c>
      <c r="B106" s="2" t="s">
        <v>69</v>
      </c>
      <c r="C106" s="2" t="s">
        <v>71</v>
      </c>
      <c r="D106" s="2">
        <v>5</v>
      </c>
      <c r="E106" s="3">
        <v>100000</v>
      </c>
      <c r="F106" s="9">
        <v>0.05</v>
      </c>
      <c r="G106" s="9">
        <v>4.3499999999999996</v>
      </c>
      <c r="H106" s="9">
        <v>0</v>
      </c>
      <c r="I106" s="12">
        <v>4.3499999999999996</v>
      </c>
      <c r="J106" s="2">
        <v>5</v>
      </c>
      <c r="K106" s="10">
        <f>+$C$3*(1+(I106/100))^10</f>
        <v>1530821.4325467767</v>
      </c>
    </row>
    <row r="107" spans="1:11">
      <c r="A107">
        <v>221</v>
      </c>
      <c r="B107" s="2" t="s">
        <v>94</v>
      </c>
      <c r="C107" s="2" t="s">
        <v>141</v>
      </c>
      <c r="D107" s="2">
        <v>5</v>
      </c>
      <c r="E107" s="3">
        <v>100000</v>
      </c>
      <c r="F107" s="9">
        <v>0.1</v>
      </c>
      <c r="G107" s="9">
        <v>4.3499999999999996</v>
      </c>
      <c r="H107" s="9">
        <v>0</v>
      </c>
      <c r="I107" s="12">
        <v>4.3499999999999996</v>
      </c>
      <c r="J107" s="2">
        <v>5</v>
      </c>
      <c r="K107" s="10">
        <f>+$C$3*(1+(I107/100))^10</f>
        <v>1530821.4325467767</v>
      </c>
    </row>
    <row r="108" spans="1:11">
      <c r="A108">
        <v>256</v>
      </c>
      <c r="B108" s="2" t="s">
        <v>69</v>
      </c>
      <c r="C108" s="2" t="s">
        <v>71</v>
      </c>
      <c r="D108" s="2">
        <v>4</v>
      </c>
      <c r="E108" s="3">
        <v>100000</v>
      </c>
      <c r="F108" s="9">
        <v>0.05</v>
      </c>
      <c r="G108" s="9">
        <v>4.3499999999999996</v>
      </c>
      <c r="H108" s="9">
        <v>0</v>
      </c>
      <c r="I108" s="12">
        <v>4.3499999999999996</v>
      </c>
      <c r="J108" s="2">
        <v>4</v>
      </c>
      <c r="K108" s="10">
        <f>+$C$3*(1+(I108/100))^10</f>
        <v>1530821.4325467767</v>
      </c>
    </row>
    <row r="109" spans="1:11">
      <c r="A109">
        <v>279</v>
      </c>
      <c r="B109" s="2" t="s">
        <v>44</v>
      </c>
      <c r="C109" s="2" t="s">
        <v>45</v>
      </c>
      <c r="D109" s="2">
        <v>3</v>
      </c>
      <c r="E109" s="3">
        <v>100000</v>
      </c>
      <c r="F109" s="9">
        <v>0.05</v>
      </c>
      <c r="G109" s="9">
        <v>4.3499999999999996</v>
      </c>
      <c r="H109" s="9">
        <v>0</v>
      </c>
      <c r="I109" s="12">
        <v>4.3499999999999996</v>
      </c>
      <c r="J109" s="2">
        <v>3</v>
      </c>
      <c r="K109" s="10">
        <f>+$C$3*(1+(I109/100))^10</f>
        <v>1530821.4325467767</v>
      </c>
    </row>
    <row r="110" spans="1:11">
      <c r="A110">
        <v>327</v>
      </c>
      <c r="B110" s="2" t="s">
        <v>80</v>
      </c>
      <c r="C110" s="2" t="s">
        <v>172</v>
      </c>
      <c r="D110" s="2">
        <v>3</v>
      </c>
      <c r="E110" s="3">
        <v>100000</v>
      </c>
      <c r="F110" s="9">
        <v>1</v>
      </c>
      <c r="G110" s="9">
        <v>4.3499999999999996</v>
      </c>
      <c r="H110" s="9">
        <v>0</v>
      </c>
      <c r="I110" s="12">
        <v>4.3499999999999996</v>
      </c>
      <c r="J110" s="2">
        <v>3</v>
      </c>
      <c r="K110" s="10">
        <f>+$C$3*(1+(I110/100))^10</f>
        <v>1530821.4325467767</v>
      </c>
    </row>
    <row r="111" spans="1:11">
      <c r="A111">
        <v>263</v>
      </c>
      <c r="B111" s="2" t="s">
        <v>30</v>
      </c>
      <c r="C111" s="2" t="s">
        <v>114</v>
      </c>
      <c r="D111" s="2">
        <v>3</v>
      </c>
      <c r="E111" s="3">
        <v>100000</v>
      </c>
      <c r="F111" s="9">
        <v>1</v>
      </c>
      <c r="G111" s="9">
        <v>4.3499999999999996</v>
      </c>
      <c r="H111" s="9">
        <v>0.3</v>
      </c>
      <c r="I111" s="12">
        <v>3.1739999999999999</v>
      </c>
      <c r="J111" s="2">
        <v>5</v>
      </c>
      <c r="K111" s="10">
        <f>+$C$3*(1+(I111/100))^10</f>
        <v>1366792.799815926</v>
      </c>
    </row>
    <row r="112" spans="1:11">
      <c r="A112">
        <v>267</v>
      </c>
      <c r="B112" s="2" t="s">
        <v>30</v>
      </c>
      <c r="C112" s="2" t="s">
        <v>31</v>
      </c>
      <c r="D112" s="2">
        <v>3</v>
      </c>
      <c r="E112" s="3">
        <v>100000</v>
      </c>
      <c r="F112" s="9">
        <v>1</v>
      </c>
      <c r="G112" s="9">
        <v>4.3499999999999996</v>
      </c>
      <c r="H112" s="9">
        <v>0.6</v>
      </c>
      <c r="I112" s="12">
        <v>2.6739999999999999</v>
      </c>
      <c r="J112" s="2">
        <v>7</v>
      </c>
      <c r="K112" s="10">
        <f>+$C$3*(1+(I112/100))^10</f>
        <v>1301981.5112009093</v>
      </c>
    </row>
    <row r="113" spans="1:11">
      <c r="A113">
        <v>71</v>
      </c>
      <c r="B113" s="2" t="s">
        <v>69</v>
      </c>
      <c r="C113" s="2" t="s">
        <v>70</v>
      </c>
      <c r="D113" s="2">
        <v>7</v>
      </c>
      <c r="E113" s="3">
        <v>100000</v>
      </c>
      <c r="F113" s="9">
        <v>0.05</v>
      </c>
      <c r="G113" s="9">
        <v>4.3</v>
      </c>
      <c r="H113" s="9">
        <v>0</v>
      </c>
      <c r="I113" s="12">
        <v>4.3</v>
      </c>
      <c r="J113" s="2">
        <v>7</v>
      </c>
      <c r="K113" s="10">
        <f>+$C$3*(1+(I113/100))^10</f>
        <v>1523502.1949731251</v>
      </c>
    </row>
    <row r="114" spans="1:11">
      <c r="A114">
        <v>122</v>
      </c>
      <c r="B114" s="2" t="s">
        <v>69</v>
      </c>
      <c r="C114" s="2" t="s">
        <v>70</v>
      </c>
      <c r="D114" s="2">
        <v>6</v>
      </c>
      <c r="E114" s="3">
        <v>100000</v>
      </c>
      <c r="F114" s="9">
        <v>0.05</v>
      </c>
      <c r="G114" s="9">
        <v>4.3</v>
      </c>
      <c r="H114" s="9">
        <v>0</v>
      </c>
      <c r="I114" s="12">
        <v>4.3</v>
      </c>
      <c r="J114" s="2">
        <v>6</v>
      </c>
      <c r="K114" s="10">
        <f>+$C$3*(1+(I114/100))^10</f>
        <v>1523502.1949731251</v>
      </c>
    </row>
    <row r="115" spans="1:11" ht="18" customHeight="1">
      <c r="A115">
        <v>149</v>
      </c>
      <c r="B115" s="2" t="s">
        <v>44</v>
      </c>
      <c r="C115" s="2" t="s">
        <v>45</v>
      </c>
      <c r="D115" s="2">
        <v>5</v>
      </c>
      <c r="E115" s="3">
        <v>100000</v>
      </c>
      <c r="F115" s="9">
        <v>0.05</v>
      </c>
      <c r="G115" s="9">
        <v>4.3</v>
      </c>
      <c r="H115" s="9">
        <v>0</v>
      </c>
      <c r="I115" s="12">
        <v>4.3</v>
      </c>
      <c r="J115" s="2">
        <v>5</v>
      </c>
      <c r="K115" s="10">
        <f>+$C$3*(1+(I115/100))^10</f>
        <v>1523502.1949731251</v>
      </c>
    </row>
    <row r="116" spans="1:11">
      <c r="A116">
        <v>153</v>
      </c>
      <c r="B116" s="2" t="s">
        <v>51</v>
      </c>
      <c r="C116" s="2" t="s">
        <v>123</v>
      </c>
      <c r="D116" s="2">
        <v>5</v>
      </c>
      <c r="E116" s="3">
        <v>100000</v>
      </c>
      <c r="F116" s="9">
        <v>1</v>
      </c>
      <c r="G116" s="9">
        <v>4.3</v>
      </c>
      <c r="H116" s="9">
        <v>0</v>
      </c>
      <c r="I116" s="12">
        <v>4.3</v>
      </c>
      <c r="J116" s="2">
        <v>5</v>
      </c>
      <c r="K116" s="10">
        <f>+$C$3*(1+(I116/100))^10</f>
        <v>1523502.1949731251</v>
      </c>
    </row>
    <row r="117" spans="1:11">
      <c r="A117">
        <v>157</v>
      </c>
      <c r="B117" s="2" t="s">
        <v>111</v>
      </c>
      <c r="C117" s="2" t="s">
        <v>112</v>
      </c>
      <c r="D117" s="2">
        <v>5</v>
      </c>
      <c r="E117" s="3">
        <v>100000</v>
      </c>
      <c r="F117" s="9">
        <v>2.7</v>
      </c>
      <c r="G117" s="9">
        <v>4.3</v>
      </c>
      <c r="H117" s="9">
        <v>0</v>
      </c>
      <c r="I117" s="12">
        <v>4.3</v>
      </c>
      <c r="J117" s="2">
        <v>5</v>
      </c>
      <c r="K117" s="10">
        <f>+$C$3*(1+(I117/100))^10</f>
        <v>1523502.1949731251</v>
      </c>
    </row>
    <row r="118" spans="1:11">
      <c r="A118">
        <v>185</v>
      </c>
      <c r="B118" s="2" t="s">
        <v>69</v>
      </c>
      <c r="C118" s="2" t="s">
        <v>70</v>
      </c>
      <c r="D118" s="2">
        <v>5</v>
      </c>
      <c r="E118" s="3">
        <v>100000</v>
      </c>
      <c r="F118" s="9">
        <v>0.05</v>
      </c>
      <c r="G118" s="9">
        <v>4.3</v>
      </c>
      <c r="H118" s="9">
        <v>0</v>
      </c>
      <c r="I118" s="12">
        <v>4.3</v>
      </c>
      <c r="J118" s="2">
        <v>5</v>
      </c>
      <c r="K118" s="10">
        <f>+$C$3*(1+(I118/100))^10</f>
        <v>1523502.1949731251</v>
      </c>
    </row>
    <row r="119" spans="1:11">
      <c r="A119">
        <v>254</v>
      </c>
      <c r="B119" s="2" t="s">
        <v>69</v>
      </c>
      <c r="C119" s="2" t="s">
        <v>70</v>
      </c>
      <c r="D119" s="2">
        <v>4</v>
      </c>
      <c r="E119" s="3">
        <v>100000</v>
      </c>
      <c r="F119" s="9">
        <v>0.05</v>
      </c>
      <c r="G119" s="9">
        <v>4.3</v>
      </c>
      <c r="H119" s="9">
        <v>0</v>
      </c>
      <c r="I119" s="12">
        <v>4.3</v>
      </c>
      <c r="J119" s="2">
        <v>4</v>
      </c>
      <c r="K119" s="10">
        <f>+$C$3*(1+(I119/100))^10</f>
        <v>1523502.1949731251</v>
      </c>
    </row>
    <row r="120" spans="1:11">
      <c r="A120">
        <v>315</v>
      </c>
      <c r="B120" s="2" t="s">
        <v>69</v>
      </c>
      <c r="C120" s="2" t="s">
        <v>71</v>
      </c>
      <c r="D120" s="2">
        <v>3</v>
      </c>
      <c r="E120" s="3">
        <v>100000</v>
      </c>
      <c r="F120" s="9">
        <v>0.05</v>
      </c>
      <c r="G120" s="9">
        <v>4.3</v>
      </c>
      <c r="H120" s="9">
        <v>0</v>
      </c>
      <c r="I120" s="12">
        <v>4.3</v>
      </c>
      <c r="J120" s="2">
        <v>3</v>
      </c>
      <c r="K120" s="10">
        <f>+$C$3*(1+(I120/100))^10</f>
        <v>1523502.1949731251</v>
      </c>
    </row>
    <row r="121" spans="1:11" ht="18" customHeight="1">
      <c r="A121">
        <v>8</v>
      </c>
      <c r="B121" s="2" t="s">
        <v>21</v>
      </c>
      <c r="C121" s="2" t="s">
        <v>22</v>
      </c>
      <c r="D121" s="2">
        <v>10</v>
      </c>
      <c r="E121" s="3">
        <v>2000</v>
      </c>
      <c r="F121" s="9">
        <v>0</v>
      </c>
      <c r="G121" s="9">
        <v>4.25</v>
      </c>
      <c r="H121" s="9">
        <v>0</v>
      </c>
      <c r="I121" s="12">
        <v>4.25</v>
      </c>
      <c r="J121" s="2">
        <v>10</v>
      </c>
      <c r="K121" s="10">
        <f>+$C$3*(1+(I121/100))^10</f>
        <v>1516214.4680559644</v>
      </c>
    </row>
    <row r="122" spans="1:11">
      <c r="A122">
        <v>25</v>
      </c>
      <c r="B122" s="2" t="s">
        <v>30</v>
      </c>
      <c r="C122" s="2" t="s">
        <v>31</v>
      </c>
      <c r="D122" s="2">
        <v>7</v>
      </c>
      <c r="E122" s="3">
        <v>100000</v>
      </c>
      <c r="F122" s="9">
        <v>1</v>
      </c>
      <c r="G122" s="9">
        <v>4.25</v>
      </c>
      <c r="H122" s="9">
        <v>0</v>
      </c>
      <c r="I122" s="12">
        <v>4.25</v>
      </c>
      <c r="J122" s="2">
        <v>7</v>
      </c>
      <c r="K122" s="10">
        <f>+$C$3*(1+(I122/100))^10</f>
        <v>1516214.4680559644</v>
      </c>
    </row>
    <row r="123" spans="1:11">
      <c r="A123">
        <v>101</v>
      </c>
      <c r="B123" s="2" t="s">
        <v>94</v>
      </c>
      <c r="C123" s="2" t="s">
        <v>95</v>
      </c>
      <c r="D123" s="2">
        <v>7</v>
      </c>
      <c r="E123" s="3">
        <v>100000</v>
      </c>
      <c r="F123" s="9">
        <v>0.1</v>
      </c>
      <c r="G123" s="9">
        <v>4.25</v>
      </c>
      <c r="H123" s="9">
        <v>0</v>
      </c>
      <c r="I123" s="12">
        <v>4.25</v>
      </c>
      <c r="J123" s="2">
        <v>7</v>
      </c>
      <c r="K123" s="10">
        <f>+$C$3*(1+(I123/100))^10</f>
        <v>1516214.4680559644</v>
      </c>
    </row>
    <row r="124" spans="1:11">
      <c r="A124">
        <v>223</v>
      </c>
      <c r="B124" s="2" t="s">
        <v>94</v>
      </c>
      <c r="C124" s="2" t="s">
        <v>141</v>
      </c>
      <c r="D124" s="2">
        <v>5</v>
      </c>
      <c r="E124" s="3">
        <v>100000</v>
      </c>
      <c r="F124" s="9">
        <v>0.1</v>
      </c>
      <c r="G124" s="9">
        <v>4.25</v>
      </c>
      <c r="H124" s="9">
        <v>0</v>
      </c>
      <c r="I124" s="12">
        <v>4.25</v>
      </c>
      <c r="J124" s="2">
        <v>5</v>
      </c>
      <c r="K124" s="10">
        <f>+$C$3*(1+(I124/100))^10</f>
        <v>1516214.4680559644</v>
      </c>
    </row>
    <row r="125" spans="1:11">
      <c r="A125">
        <v>313</v>
      </c>
      <c r="B125" s="2" t="s">
        <v>69</v>
      </c>
      <c r="C125" s="2" t="s">
        <v>70</v>
      </c>
      <c r="D125" s="2">
        <v>3</v>
      </c>
      <c r="E125" s="3">
        <v>100000</v>
      </c>
      <c r="F125" s="9">
        <v>0.05</v>
      </c>
      <c r="G125" s="9">
        <v>4.25</v>
      </c>
      <c r="H125" s="9">
        <v>0</v>
      </c>
      <c r="I125" s="12">
        <v>4.25</v>
      </c>
      <c r="J125" s="2">
        <v>3</v>
      </c>
      <c r="K125" s="10">
        <f>+$C$3*(1+(I125/100))^10</f>
        <v>1516214.4680559644</v>
      </c>
    </row>
    <row r="126" spans="1:11">
      <c r="A126">
        <v>341</v>
      </c>
      <c r="B126" s="2" t="s">
        <v>100</v>
      </c>
      <c r="C126" s="2" t="s">
        <v>175</v>
      </c>
      <c r="D126" s="2">
        <v>3</v>
      </c>
      <c r="E126" s="3">
        <v>100000</v>
      </c>
      <c r="F126" s="9">
        <v>0.25</v>
      </c>
      <c r="G126" s="9">
        <v>4.25</v>
      </c>
      <c r="H126" s="9">
        <v>0</v>
      </c>
      <c r="I126" s="12">
        <v>4.25</v>
      </c>
      <c r="J126" s="2">
        <v>3</v>
      </c>
      <c r="K126" s="10">
        <f>+$C$3*(1+(I126/100))^10</f>
        <v>1516214.4680559644</v>
      </c>
    </row>
    <row r="127" spans="1:11">
      <c r="A127">
        <v>303</v>
      </c>
      <c r="B127" s="2" t="s">
        <v>187</v>
      </c>
      <c r="C127" s="2" t="s">
        <v>27</v>
      </c>
      <c r="D127" s="2">
        <v>3</v>
      </c>
      <c r="E127" s="3">
        <v>100000</v>
      </c>
      <c r="F127" s="9">
        <v>1</v>
      </c>
      <c r="G127" s="9">
        <v>4.2</v>
      </c>
      <c r="H127" s="9">
        <v>0</v>
      </c>
      <c r="I127" s="12">
        <v>4.2</v>
      </c>
      <c r="J127" s="2">
        <v>3</v>
      </c>
      <c r="K127" s="10">
        <f>+$C$3*(1+(I127/100))^10</f>
        <v>1508958.1311516545</v>
      </c>
    </row>
    <row r="128" spans="1:11">
      <c r="A128">
        <v>319</v>
      </c>
      <c r="B128" s="2" t="s">
        <v>77</v>
      </c>
      <c r="C128" s="2" t="s">
        <v>78</v>
      </c>
      <c r="D128" s="2">
        <v>3</v>
      </c>
      <c r="E128" s="3">
        <v>100000</v>
      </c>
      <c r="F128" s="9">
        <v>0.25</v>
      </c>
      <c r="G128" s="9">
        <v>4.2</v>
      </c>
      <c r="H128" s="9">
        <v>0</v>
      </c>
      <c r="I128" s="12">
        <v>4.2</v>
      </c>
      <c r="J128" s="2">
        <v>3</v>
      </c>
      <c r="K128" s="10">
        <f>+$C$3*(1+(I128/100))^10</f>
        <v>1508958.1311516545</v>
      </c>
    </row>
    <row r="129" spans="1:11">
      <c r="A129">
        <v>15</v>
      </c>
      <c r="B129" s="2" t="s">
        <v>21</v>
      </c>
      <c r="C129" s="2" t="s">
        <v>22</v>
      </c>
      <c r="D129" s="2">
        <v>9</v>
      </c>
      <c r="E129" s="3">
        <v>2000</v>
      </c>
      <c r="F129" s="9">
        <v>0</v>
      </c>
      <c r="G129" s="9">
        <v>4.1500000000000004</v>
      </c>
      <c r="H129" s="9">
        <v>0</v>
      </c>
      <c r="I129" s="12">
        <v>4.1500000000000004</v>
      </c>
      <c r="J129" s="2">
        <v>9</v>
      </c>
      <c r="K129" s="10">
        <f>+$C$3*(1+(I129/100))^10</f>
        <v>1501733.0640209147</v>
      </c>
    </row>
    <row r="130" spans="1:11" ht="18" customHeight="1">
      <c r="A130">
        <v>69</v>
      </c>
      <c r="B130" s="2" t="s">
        <v>21</v>
      </c>
      <c r="C130" s="2" t="s">
        <v>66</v>
      </c>
      <c r="D130" s="2">
        <v>7</v>
      </c>
      <c r="E130" s="3">
        <v>100000</v>
      </c>
      <c r="F130" s="9">
        <v>0.5</v>
      </c>
      <c r="G130" s="9">
        <v>4.1500000000000004</v>
      </c>
      <c r="H130" s="9">
        <v>0</v>
      </c>
      <c r="I130" s="12">
        <v>4.1500000000000004</v>
      </c>
      <c r="J130" s="2">
        <v>7</v>
      </c>
      <c r="K130" s="10">
        <f>+$C$3*(1+(I130/100))^10</f>
        <v>1501733.0640209147</v>
      </c>
    </row>
    <row r="131" spans="1:11">
      <c r="A131">
        <v>183</v>
      </c>
      <c r="B131" s="2" t="s">
        <v>21</v>
      </c>
      <c r="C131" s="2" t="s">
        <v>66</v>
      </c>
      <c r="D131" s="2">
        <v>5</v>
      </c>
      <c r="E131" s="3">
        <v>100000</v>
      </c>
      <c r="F131" s="9">
        <v>0.5</v>
      </c>
      <c r="G131" s="9">
        <v>4.1500000000000004</v>
      </c>
      <c r="H131" s="9">
        <v>0</v>
      </c>
      <c r="I131" s="12">
        <v>4.1500000000000004</v>
      </c>
      <c r="J131" s="2">
        <v>7</v>
      </c>
      <c r="K131" s="10">
        <f>+$C$3*(1+(I131/100))^10</f>
        <v>1501733.0640209147</v>
      </c>
    </row>
    <row r="132" spans="1:11">
      <c r="A132">
        <v>238</v>
      </c>
      <c r="B132" s="2" t="s">
        <v>111</v>
      </c>
      <c r="C132" s="2" t="s">
        <v>112</v>
      </c>
      <c r="D132" s="2">
        <v>4</v>
      </c>
      <c r="E132" s="3">
        <v>100000</v>
      </c>
      <c r="F132" s="9">
        <v>2.7</v>
      </c>
      <c r="G132" s="9">
        <v>4.1500000000000004</v>
      </c>
      <c r="H132" s="9">
        <v>0</v>
      </c>
      <c r="I132" s="12">
        <v>4.1500000000000004</v>
      </c>
      <c r="J132" s="2">
        <v>4</v>
      </c>
      <c r="K132" s="10">
        <f>+$C$3*(1+(I132/100))^10</f>
        <v>1501733.0640209147</v>
      </c>
    </row>
    <row r="133" spans="1:11">
      <c r="A133">
        <v>242</v>
      </c>
      <c r="B133" s="2" t="s">
        <v>60</v>
      </c>
      <c r="C133" s="2" t="s">
        <v>61</v>
      </c>
      <c r="D133" s="2">
        <v>4</v>
      </c>
      <c r="E133" s="3">
        <v>100000</v>
      </c>
      <c r="F133" s="9">
        <v>2.4500000000000002</v>
      </c>
      <c r="G133" s="9">
        <v>4.1500000000000004</v>
      </c>
      <c r="H133" s="9">
        <v>0</v>
      </c>
      <c r="I133" s="12">
        <v>4.1500000000000004</v>
      </c>
      <c r="J133" s="2">
        <v>4</v>
      </c>
      <c r="K133" s="10">
        <f>+$C$3*(1+(I133/100))^10</f>
        <v>1501733.0640209147</v>
      </c>
    </row>
    <row r="134" spans="1:11">
      <c r="A134">
        <v>248</v>
      </c>
      <c r="B134" s="2" t="s">
        <v>21</v>
      </c>
      <c r="C134" s="2" t="s">
        <v>66</v>
      </c>
      <c r="D134" s="2">
        <v>4</v>
      </c>
      <c r="E134" s="3">
        <v>100000</v>
      </c>
      <c r="F134" s="9">
        <v>0.5</v>
      </c>
      <c r="G134" s="9">
        <v>4.1500000000000004</v>
      </c>
      <c r="H134" s="9">
        <v>0</v>
      </c>
      <c r="I134" s="12">
        <v>4.1500000000000004</v>
      </c>
      <c r="J134" s="2">
        <v>4</v>
      </c>
      <c r="K134" s="10">
        <f>+$C$3*(1+(I134/100))^10</f>
        <v>1501733.0640209147</v>
      </c>
    </row>
    <row r="135" spans="1:11">
      <c r="A135">
        <v>179</v>
      </c>
      <c r="B135" s="2" t="s">
        <v>21</v>
      </c>
      <c r="C135" s="2" t="s">
        <v>66</v>
      </c>
      <c r="D135" s="2">
        <v>5</v>
      </c>
      <c r="E135" s="3">
        <v>100000</v>
      </c>
      <c r="F135" s="9">
        <v>0.5</v>
      </c>
      <c r="G135" s="9">
        <v>4.0999999999999996</v>
      </c>
      <c r="H135" s="9">
        <v>0</v>
      </c>
      <c r="I135" s="12">
        <v>4.0999999999999996</v>
      </c>
      <c r="J135" s="2">
        <v>5</v>
      </c>
      <c r="K135" s="10">
        <f>+$C$3*(1+(I135/100))^10</f>
        <v>1494539.1468276638</v>
      </c>
    </row>
    <row r="136" spans="1:11" ht="18" customHeight="1">
      <c r="A136">
        <v>244</v>
      </c>
      <c r="B136" s="2" t="s">
        <v>60</v>
      </c>
      <c r="C136" s="2" t="s">
        <v>148</v>
      </c>
      <c r="D136" s="2">
        <v>4</v>
      </c>
      <c r="E136" s="3">
        <v>100000</v>
      </c>
      <c r="F136" s="9">
        <v>2.5</v>
      </c>
      <c r="G136" s="9">
        <v>4.0999999999999996</v>
      </c>
      <c r="H136" s="9">
        <v>0</v>
      </c>
      <c r="I136" s="12">
        <v>4.0999999999999996</v>
      </c>
      <c r="J136" s="2">
        <v>4</v>
      </c>
      <c r="K136" s="10">
        <f>+$C$3*(1+(I136/100))^10</f>
        <v>1494539.1468276638</v>
      </c>
    </row>
    <row r="137" spans="1:11" ht="18" customHeight="1">
      <c r="A137">
        <v>250</v>
      </c>
      <c r="B137" s="2" t="s">
        <v>21</v>
      </c>
      <c r="C137" s="2" t="s">
        <v>66</v>
      </c>
      <c r="D137" s="2">
        <v>4</v>
      </c>
      <c r="E137" s="3">
        <v>100000</v>
      </c>
      <c r="F137" s="9">
        <v>0.5</v>
      </c>
      <c r="G137" s="9">
        <v>4.0999999999999996</v>
      </c>
      <c r="H137" s="9">
        <v>0</v>
      </c>
      <c r="I137" s="12">
        <v>4.0999999999999996</v>
      </c>
      <c r="J137" s="2">
        <v>4</v>
      </c>
      <c r="K137" s="10">
        <f>+$C$3*(1+(I137/100))^10</f>
        <v>1494539.1468276638</v>
      </c>
    </row>
    <row r="138" spans="1:11">
      <c r="A138">
        <v>283</v>
      </c>
      <c r="B138" s="2" t="s">
        <v>44</v>
      </c>
      <c r="C138" s="2" t="s">
        <v>45</v>
      </c>
      <c r="D138" s="2">
        <v>3</v>
      </c>
      <c r="E138" s="3">
        <v>100000</v>
      </c>
      <c r="F138" s="9">
        <v>0.05</v>
      </c>
      <c r="G138" s="9">
        <v>4.0999999999999996</v>
      </c>
      <c r="H138" s="9">
        <v>0</v>
      </c>
      <c r="I138" s="12">
        <v>4.0999999999999996</v>
      </c>
      <c r="J138" s="2">
        <v>3</v>
      </c>
      <c r="K138" s="10">
        <f>+$C$3*(1+(I138/100))^10</f>
        <v>1494539.1468276638</v>
      </c>
    </row>
    <row r="139" spans="1:11" ht="18" customHeight="1">
      <c r="A139">
        <v>289</v>
      </c>
      <c r="B139" s="2" t="s">
        <v>53</v>
      </c>
      <c r="C139" s="2" t="s">
        <v>164</v>
      </c>
      <c r="D139" s="2">
        <v>3</v>
      </c>
      <c r="E139" s="3">
        <v>100000</v>
      </c>
      <c r="F139" s="9">
        <v>0.1</v>
      </c>
      <c r="G139" s="9">
        <v>4.0999999999999996</v>
      </c>
      <c r="H139" s="9">
        <v>0</v>
      </c>
      <c r="I139" s="12">
        <v>4.0999999999999996</v>
      </c>
      <c r="J139" s="2">
        <v>3</v>
      </c>
      <c r="K139" s="10">
        <f>+$C$3*(1+(I139/100))^10</f>
        <v>1494539.1468276638</v>
      </c>
    </row>
    <row r="140" spans="1:11">
      <c r="A140">
        <v>295</v>
      </c>
      <c r="B140" s="2" t="s">
        <v>58</v>
      </c>
      <c r="C140" s="2" t="s">
        <v>59</v>
      </c>
      <c r="D140" s="2">
        <v>3</v>
      </c>
      <c r="E140" s="3">
        <v>100000</v>
      </c>
      <c r="F140" s="9">
        <v>2.4</v>
      </c>
      <c r="G140" s="9">
        <v>4.0999999999999996</v>
      </c>
      <c r="H140" s="9">
        <v>0</v>
      </c>
      <c r="I140" s="12">
        <v>4.0999999999999996</v>
      </c>
      <c r="J140" s="2">
        <v>3</v>
      </c>
      <c r="K140" s="10">
        <f>+$C$3*(1+(I140/100))^10</f>
        <v>1494539.1468276638</v>
      </c>
    </row>
    <row r="141" spans="1:11" ht="18" customHeight="1">
      <c r="A141">
        <v>297</v>
      </c>
      <c r="B141" s="2" t="s">
        <v>60</v>
      </c>
      <c r="C141" s="2" t="s">
        <v>61</v>
      </c>
      <c r="D141" s="2">
        <v>3</v>
      </c>
      <c r="E141" s="3">
        <v>100000</v>
      </c>
      <c r="F141" s="9">
        <v>2.4500000000000002</v>
      </c>
      <c r="G141" s="9">
        <v>4.0999999999999996</v>
      </c>
      <c r="H141" s="9">
        <v>0</v>
      </c>
      <c r="I141" s="12">
        <v>4.0999999999999996</v>
      </c>
      <c r="J141" s="2">
        <v>3</v>
      </c>
      <c r="K141" s="10">
        <f>+$C$3*(1+(I141/100))^10</f>
        <v>1494539.1468276638</v>
      </c>
    </row>
    <row r="142" spans="1:11">
      <c r="A142">
        <v>307</v>
      </c>
      <c r="B142" s="2" t="s">
        <v>21</v>
      </c>
      <c r="C142" s="2" t="s">
        <v>66</v>
      </c>
      <c r="D142" s="2">
        <v>3</v>
      </c>
      <c r="E142" s="3">
        <v>100000</v>
      </c>
      <c r="F142" s="9">
        <v>0.5</v>
      </c>
      <c r="G142" s="9">
        <v>4.0999999999999996</v>
      </c>
      <c r="H142" s="9">
        <v>0</v>
      </c>
      <c r="I142" s="12">
        <v>4.0999999999999996</v>
      </c>
      <c r="J142" s="2">
        <v>3</v>
      </c>
      <c r="K142" s="10">
        <f>+$C$3*(1+(I142/100))^10</f>
        <v>1494539.1468276638</v>
      </c>
    </row>
    <row r="143" spans="1:11" ht="18" customHeight="1">
      <c r="A143">
        <v>331</v>
      </c>
      <c r="B143" s="2" t="s">
        <v>94</v>
      </c>
      <c r="C143" s="2" t="s">
        <v>173</v>
      </c>
      <c r="D143" s="2">
        <v>3</v>
      </c>
      <c r="E143" s="3">
        <v>100000</v>
      </c>
      <c r="F143" s="9">
        <v>0.1</v>
      </c>
      <c r="G143" s="9">
        <v>4.0999999999999996</v>
      </c>
      <c r="H143" s="9">
        <v>0</v>
      </c>
      <c r="I143" s="12">
        <v>4.0999999999999996</v>
      </c>
      <c r="J143" s="2">
        <v>3</v>
      </c>
      <c r="K143" s="10">
        <f>+$C$3*(1+(I143/100))^10</f>
        <v>1494539.1468276638</v>
      </c>
    </row>
    <row r="144" spans="1:11">
      <c r="A144">
        <v>18</v>
      </c>
      <c r="B144" s="2" t="s">
        <v>21</v>
      </c>
      <c r="C144" s="2" t="s">
        <v>22</v>
      </c>
      <c r="D144" s="2">
        <v>8</v>
      </c>
      <c r="E144" s="3">
        <v>2000</v>
      </c>
      <c r="F144" s="9">
        <v>0</v>
      </c>
      <c r="G144" s="9">
        <v>4.05</v>
      </c>
      <c r="H144" s="9">
        <v>0</v>
      </c>
      <c r="I144" s="12">
        <v>4.05</v>
      </c>
      <c r="J144" s="2">
        <v>8</v>
      </c>
      <c r="K144" s="10">
        <f>+$C$3*(1+(I144/100))^10</f>
        <v>1487376.2601378609</v>
      </c>
    </row>
    <row r="145" spans="1:11">
      <c r="A145">
        <v>287</v>
      </c>
      <c r="B145" s="2" t="s">
        <v>51</v>
      </c>
      <c r="C145" s="2" t="s">
        <v>163</v>
      </c>
      <c r="D145" s="2">
        <v>3</v>
      </c>
      <c r="E145" s="3">
        <v>100000</v>
      </c>
      <c r="F145" s="9">
        <v>1</v>
      </c>
      <c r="G145" s="9">
        <v>4.05</v>
      </c>
      <c r="H145" s="9">
        <v>0</v>
      </c>
      <c r="I145" s="12">
        <v>4.05</v>
      </c>
      <c r="J145" s="2">
        <v>3</v>
      </c>
      <c r="K145" s="10">
        <f>+$C$3*(1+(I145/100))^10</f>
        <v>1487376.2601378609</v>
      </c>
    </row>
    <row r="146" spans="1:11">
      <c r="A146">
        <v>299</v>
      </c>
      <c r="B146" s="2" t="s">
        <v>60</v>
      </c>
      <c r="C146" s="2" t="s">
        <v>148</v>
      </c>
      <c r="D146" s="2">
        <v>3</v>
      </c>
      <c r="E146" s="3">
        <v>100000</v>
      </c>
      <c r="F146" s="9">
        <v>2.5</v>
      </c>
      <c r="G146" s="9">
        <v>4.05</v>
      </c>
      <c r="H146" s="9">
        <v>0</v>
      </c>
      <c r="I146" s="12">
        <v>4.05</v>
      </c>
      <c r="J146" s="2">
        <v>3</v>
      </c>
      <c r="K146" s="10">
        <f>+$C$3*(1+(I146/100))^10</f>
        <v>1487376.2601378609</v>
      </c>
    </row>
    <row r="147" spans="1:11">
      <c r="A147">
        <v>333</v>
      </c>
      <c r="B147" s="2" t="s">
        <v>94</v>
      </c>
      <c r="C147" s="2" t="s">
        <v>173</v>
      </c>
      <c r="D147" s="2">
        <v>3</v>
      </c>
      <c r="E147" s="3">
        <v>100000</v>
      </c>
      <c r="F147" s="9">
        <v>0.1</v>
      </c>
      <c r="G147" s="9">
        <v>4.05</v>
      </c>
      <c r="H147" s="9">
        <v>0</v>
      </c>
      <c r="I147" s="12">
        <v>4.05</v>
      </c>
      <c r="J147" s="2">
        <v>3</v>
      </c>
      <c r="K147" s="10">
        <f>+$C$3*(1+(I147/100))^10</f>
        <v>1487376.2601378609</v>
      </c>
    </row>
    <row r="148" spans="1:11">
      <c r="A148">
        <v>65</v>
      </c>
      <c r="B148" s="2" t="s">
        <v>21</v>
      </c>
      <c r="C148" s="2" t="s">
        <v>22</v>
      </c>
      <c r="D148" s="2">
        <v>7</v>
      </c>
      <c r="E148" s="3">
        <v>2000</v>
      </c>
      <c r="F148" s="9">
        <v>0</v>
      </c>
      <c r="G148" s="9">
        <v>4</v>
      </c>
      <c r="H148" s="9">
        <v>0</v>
      </c>
      <c r="I148" s="12">
        <v>4</v>
      </c>
      <c r="J148" s="2">
        <v>7</v>
      </c>
      <c r="K148" s="10">
        <f>+$C$3*(1+(I148/100))^10</f>
        <v>1480244.2849183446</v>
      </c>
    </row>
    <row r="149" spans="1:11" ht="18" customHeight="1">
      <c r="A149">
        <v>309</v>
      </c>
      <c r="B149" s="2" t="s">
        <v>21</v>
      </c>
      <c r="C149" s="2" t="s">
        <v>66</v>
      </c>
      <c r="D149" s="2">
        <v>3</v>
      </c>
      <c r="E149" s="3">
        <v>100000</v>
      </c>
      <c r="F149" s="9">
        <v>0.5</v>
      </c>
      <c r="G149" s="9">
        <v>4</v>
      </c>
      <c r="H149" s="9">
        <v>0</v>
      </c>
      <c r="I149" s="12">
        <v>4</v>
      </c>
      <c r="J149" s="2">
        <v>3</v>
      </c>
      <c r="K149" s="10">
        <f>+$C$3*(1+(I149/100))^10</f>
        <v>1480244.2849183446</v>
      </c>
    </row>
    <row r="150" spans="1:11">
      <c r="A150">
        <v>335</v>
      </c>
      <c r="B150" s="2" t="s">
        <v>94</v>
      </c>
      <c r="C150" s="2" t="s">
        <v>173</v>
      </c>
      <c r="D150" s="2">
        <v>3</v>
      </c>
      <c r="E150" s="3">
        <v>100000</v>
      </c>
      <c r="F150" s="9">
        <v>0.1</v>
      </c>
      <c r="G150" s="9">
        <v>4</v>
      </c>
      <c r="H150" s="9">
        <v>0</v>
      </c>
      <c r="I150" s="12">
        <v>4</v>
      </c>
      <c r="J150" s="2">
        <v>3</v>
      </c>
      <c r="K150" s="10">
        <f>+$C$3*(1+(I150/100))^10</f>
        <v>1480244.2849183446</v>
      </c>
    </row>
    <row r="151" spans="1:11">
      <c r="A151">
        <v>252</v>
      </c>
      <c r="B151" s="2" t="s">
        <v>21</v>
      </c>
      <c r="C151" s="2" t="s">
        <v>66</v>
      </c>
      <c r="D151" s="2">
        <v>4</v>
      </c>
      <c r="E151" s="3">
        <v>100000</v>
      </c>
      <c r="F151" s="9">
        <v>0.5</v>
      </c>
      <c r="G151" s="9">
        <v>3.95</v>
      </c>
      <c r="H151" s="9">
        <v>0</v>
      </c>
      <c r="I151" s="12">
        <v>3.95</v>
      </c>
      <c r="J151" s="2">
        <v>4</v>
      </c>
      <c r="K151" s="10">
        <f>+$C$3*(1+(I151/100))^10</f>
        <v>1473143.102535676</v>
      </c>
    </row>
    <row r="152" spans="1:11">
      <c r="A152">
        <v>337</v>
      </c>
      <c r="B152" s="2" t="s">
        <v>94</v>
      </c>
      <c r="C152" s="2" t="s">
        <v>173</v>
      </c>
      <c r="D152" s="2">
        <v>3</v>
      </c>
      <c r="E152" s="3">
        <v>100000</v>
      </c>
      <c r="F152" s="9">
        <v>0.1</v>
      </c>
      <c r="G152" s="9">
        <v>3.9</v>
      </c>
      <c r="H152" s="9">
        <v>0</v>
      </c>
      <c r="I152" s="12">
        <v>3.9</v>
      </c>
      <c r="J152" s="2">
        <v>3</v>
      </c>
      <c r="K152" s="10">
        <f>+$C$3*(1+(I152/100))^10</f>
        <v>1466072.5947549925</v>
      </c>
    </row>
    <row r="153" spans="1:11">
      <c r="A153">
        <v>233</v>
      </c>
      <c r="B153" s="2" t="s">
        <v>108</v>
      </c>
      <c r="C153" s="2" t="s">
        <v>109</v>
      </c>
      <c r="D153" s="2">
        <v>5</v>
      </c>
      <c r="E153" s="3">
        <v>100000</v>
      </c>
      <c r="F153" s="9">
        <v>1.1499999999999999</v>
      </c>
      <c r="G153" s="9">
        <v>3.85</v>
      </c>
      <c r="H153" s="9">
        <v>0</v>
      </c>
      <c r="I153" s="12">
        <v>3.85</v>
      </c>
      <c r="J153" s="2">
        <v>5</v>
      </c>
      <c r="K153" s="10">
        <f>+$C$3*(1+(I153/100))^10</f>
        <v>1459032.6437388717</v>
      </c>
    </row>
    <row r="154" spans="1:11">
      <c r="A154">
        <v>291</v>
      </c>
      <c r="B154" s="2" t="s">
        <v>111</v>
      </c>
      <c r="C154" s="2" t="s">
        <v>112</v>
      </c>
      <c r="D154" s="2">
        <v>3</v>
      </c>
      <c r="E154" s="3">
        <v>100000</v>
      </c>
      <c r="F154" s="9">
        <v>2.7</v>
      </c>
      <c r="G154" s="9">
        <v>3.85</v>
      </c>
      <c r="H154" s="9">
        <v>0</v>
      </c>
      <c r="I154" s="12">
        <v>3.85</v>
      </c>
      <c r="J154" s="2">
        <v>3</v>
      </c>
      <c r="K154" s="10">
        <f>+$C$3*(1+(I154/100))^10</f>
        <v>1459032.6437388717</v>
      </c>
    </row>
    <row r="155" spans="1:11">
      <c r="A155">
        <v>311</v>
      </c>
      <c r="B155" s="2" t="s">
        <v>21</v>
      </c>
      <c r="C155" s="2" t="s">
        <v>66</v>
      </c>
      <c r="D155" s="2">
        <v>3</v>
      </c>
      <c r="E155" s="3">
        <v>100000</v>
      </c>
      <c r="F155" s="9">
        <v>0.5</v>
      </c>
      <c r="G155" s="9">
        <v>3.85</v>
      </c>
      <c r="H155" s="9">
        <v>0</v>
      </c>
      <c r="I155" s="12">
        <v>3.85</v>
      </c>
      <c r="J155" s="2">
        <v>3</v>
      </c>
      <c r="K155" s="10">
        <f>+$C$3*(1+(I155/100))^10</f>
        <v>1459032.6437388717</v>
      </c>
    </row>
    <row r="156" spans="1:11">
      <c r="A156">
        <v>195</v>
      </c>
      <c r="B156" s="2" t="s">
        <v>74</v>
      </c>
      <c r="C156" s="2" t="s">
        <v>131</v>
      </c>
      <c r="D156" s="2">
        <v>5</v>
      </c>
      <c r="E156" s="3">
        <v>100000</v>
      </c>
      <c r="F156" s="9">
        <v>3</v>
      </c>
      <c r="G156" s="9">
        <v>3.8</v>
      </c>
      <c r="H156" s="9">
        <v>2.5</v>
      </c>
      <c r="I156" s="12">
        <v>4.3140000000000001</v>
      </c>
      <c r="J156" s="2">
        <v>5</v>
      </c>
      <c r="K156" s="10">
        <f>+$C$3*(1+(I156/100))^10</f>
        <v>1525548.4000210003</v>
      </c>
    </row>
    <row r="157" spans="1:11">
      <c r="A157">
        <v>4</v>
      </c>
      <c r="B157" s="2" t="s">
        <v>12</v>
      </c>
      <c r="C157" s="2" t="s">
        <v>16</v>
      </c>
      <c r="D157" s="2">
        <v>10</v>
      </c>
      <c r="E157" s="3">
        <v>20000</v>
      </c>
      <c r="F157" s="9">
        <v>2.5</v>
      </c>
      <c r="G157" s="9">
        <v>3.8</v>
      </c>
      <c r="H157" s="9">
        <v>1</v>
      </c>
      <c r="I157" s="12">
        <v>3.9</v>
      </c>
      <c r="J157" s="2">
        <v>10</v>
      </c>
      <c r="K157" s="10">
        <f>+$C$3*(1+(I157/100))^10</f>
        <v>1466072.5947549925</v>
      </c>
    </row>
    <row r="158" spans="1:11">
      <c r="A158">
        <v>120</v>
      </c>
      <c r="B158" s="2" t="s">
        <v>21</v>
      </c>
      <c r="C158" s="2" t="s">
        <v>22</v>
      </c>
      <c r="D158" s="2">
        <v>6</v>
      </c>
      <c r="E158" s="3">
        <v>2000</v>
      </c>
      <c r="F158" s="9">
        <v>0</v>
      </c>
      <c r="G158" s="9">
        <v>3.75</v>
      </c>
      <c r="H158" s="9">
        <v>0</v>
      </c>
      <c r="I158" s="12">
        <v>3.75</v>
      </c>
      <c r="J158" s="2">
        <v>6</v>
      </c>
      <c r="K158" s="10">
        <f>+$C$3*(1+(I158/100))^10</f>
        <v>1445043.9426308379</v>
      </c>
    </row>
    <row r="159" spans="1:11">
      <c r="A159">
        <v>258</v>
      </c>
      <c r="B159" s="2" t="s">
        <v>108</v>
      </c>
      <c r="C159" s="2" t="s">
        <v>109</v>
      </c>
      <c r="D159" s="2">
        <v>4</v>
      </c>
      <c r="E159" s="3">
        <v>100000</v>
      </c>
      <c r="F159" s="9">
        <v>1.1499999999999999</v>
      </c>
      <c r="G159" s="9">
        <v>3.75</v>
      </c>
      <c r="H159" s="9">
        <v>0</v>
      </c>
      <c r="I159" s="12">
        <v>3.75</v>
      </c>
      <c r="J159" s="2">
        <v>4</v>
      </c>
      <c r="K159" s="10">
        <f>+$C$3*(1+(I159/100))^10</f>
        <v>1445043.9426308379</v>
      </c>
    </row>
    <row r="160" spans="1:11">
      <c r="A160">
        <v>161</v>
      </c>
      <c r="B160" s="2" t="s">
        <v>12</v>
      </c>
      <c r="C160" s="2" t="s">
        <v>13</v>
      </c>
      <c r="D160" s="2">
        <v>5</v>
      </c>
      <c r="E160" s="3">
        <v>2000</v>
      </c>
      <c r="F160" s="9">
        <v>2.5</v>
      </c>
      <c r="G160" s="9">
        <v>3.7</v>
      </c>
      <c r="H160" s="9">
        <v>0.75</v>
      </c>
      <c r="I160" s="12">
        <v>3.4620000000000002</v>
      </c>
      <c r="J160" s="2">
        <v>7</v>
      </c>
      <c r="K160" s="10">
        <f>+$C$3*(1+(I160/100))^10</f>
        <v>1405428.2989317479</v>
      </c>
    </row>
    <row r="161" spans="1:11">
      <c r="A161">
        <v>293</v>
      </c>
      <c r="B161" s="2" t="s">
        <v>12</v>
      </c>
      <c r="C161" s="2" t="s">
        <v>57</v>
      </c>
      <c r="D161" s="2">
        <v>3</v>
      </c>
      <c r="E161" s="3">
        <v>3000</v>
      </c>
      <c r="F161" s="9">
        <v>2.5</v>
      </c>
      <c r="G161" s="9">
        <v>3.7</v>
      </c>
      <c r="H161" s="9">
        <v>1</v>
      </c>
      <c r="I161" s="12">
        <v>3.1539999999999999</v>
      </c>
      <c r="J161" s="2">
        <v>7</v>
      </c>
      <c r="K161" s="10">
        <f>+$C$3*(1+(I161/100))^10</f>
        <v>1364145.6190434815</v>
      </c>
    </row>
    <row r="162" spans="1:11">
      <c r="A162">
        <v>159</v>
      </c>
      <c r="B162" s="2" t="s">
        <v>12</v>
      </c>
      <c r="C162" s="2" t="s">
        <v>16</v>
      </c>
      <c r="D162" s="2">
        <v>5</v>
      </c>
      <c r="E162" s="3">
        <v>20000</v>
      </c>
      <c r="F162" s="9">
        <v>2.5</v>
      </c>
      <c r="G162" s="9">
        <v>3.65</v>
      </c>
      <c r="H162" s="9">
        <v>1</v>
      </c>
      <c r="I162" s="12">
        <v>3.8490000000000002</v>
      </c>
      <c r="J162" s="2">
        <v>5</v>
      </c>
      <c r="K162" s="10">
        <f>+$C$3*(1+(I162/100))^10</f>
        <v>1458892.1555902951</v>
      </c>
    </row>
    <row r="163" spans="1:11" ht="18" customHeight="1">
      <c r="A163">
        <v>111</v>
      </c>
      <c r="B163" s="2" t="s">
        <v>108</v>
      </c>
      <c r="C163" s="2" t="s">
        <v>109</v>
      </c>
      <c r="D163" s="2">
        <v>7</v>
      </c>
      <c r="E163" s="3">
        <v>100000</v>
      </c>
      <c r="F163" s="9">
        <v>1.1499999999999999</v>
      </c>
      <c r="G163" s="9">
        <v>3.6</v>
      </c>
      <c r="H163" s="9">
        <v>0</v>
      </c>
      <c r="I163" s="12">
        <v>3.6</v>
      </c>
      <c r="J163" s="2">
        <v>7</v>
      </c>
      <c r="K163" s="10">
        <f>+$C$3*(1+(I163/100))^10</f>
        <v>1424287.1434923117</v>
      </c>
    </row>
    <row r="164" spans="1:11">
      <c r="A164">
        <v>126</v>
      </c>
      <c r="B164" s="2" t="s">
        <v>108</v>
      </c>
      <c r="C164" s="2" t="s">
        <v>109</v>
      </c>
      <c r="D164" s="2">
        <v>6</v>
      </c>
      <c r="E164" s="3">
        <v>100000</v>
      </c>
      <c r="F164" s="9">
        <v>1.1499999999999999</v>
      </c>
      <c r="G164" s="9">
        <v>3.6</v>
      </c>
      <c r="H164" s="9">
        <v>0</v>
      </c>
      <c r="I164" s="12">
        <v>3.6</v>
      </c>
      <c r="J164" s="2">
        <v>6</v>
      </c>
      <c r="K164" s="10">
        <f>+$C$3*(1+(I164/100))^10</f>
        <v>1424287.1434923117</v>
      </c>
    </row>
    <row r="165" spans="1:11">
      <c r="A165">
        <v>345</v>
      </c>
      <c r="B165" s="2" t="s">
        <v>105</v>
      </c>
      <c r="C165" s="2" t="s">
        <v>106</v>
      </c>
      <c r="D165" s="2">
        <v>3</v>
      </c>
      <c r="E165" s="3">
        <v>100000</v>
      </c>
      <c r="F165" s="9">
        <v>1</v>
      </c>
      <c r="G165" s="9">
        <v>3.6</v>
      </c>
      <c r="H165" s="9">
        <v>0</v>
      </c>
      <c r="I165" s="12">
        <v>3.6</v>
      </c>
      <c r="J165" s="2">
        <v>3</v>
      </c>
      <c r="K165" s="10">
        <f>+$C$3*(1+(I165/100))^10</f>
        <v>1424287.1434923117</v>
      </c>
    </row>
    <row r="166" spans="1:11">
      <c r="A166">
        <v>163</v>
      </c>
      <c r="B166" s="2" t="s">
        <v>12</v>
      </c>
      <c r="C166" s="2" t="s">
        <v>57</v>
      </c>
      <c r="D166" s="2">
        <v>5</v>
      </c>
      <c r="E166" s="3">
        <v>3000</v>
      </c>
      <c r="F166" s="9">
        <v>2.5</v>
      </c>
      <c r="G166" s="9">
        <v>3.6</v>
      </c>
      <c r="H166" s="9">
        <v>1</v>
      </c>
      <c r="I166" s="12">
        <v>3.4260000000000002</v>
      </c>
      <c r="J166" s="2">
        <v>7</v>
      </c>
      <c r="K166" s="10">
        <f>+$C$3*(1+(I166/100))^10</f>
        <v>1400545.707225679</v>
      </c>
    </row>
    <row r="167" spans="1:11">
      <c r="A167">
        <v>240</v>
      </c>
      <c r="B167" s="2" t="s">
        <v>12</v>
      </c>
      <c r="C167" s="2" t="s">
        <v>16</v>
      </c>
      <c r="D167" s="2">
        <v>4</v>
      </c>
      <c r="E167" s="3">
        <v>20000</v>
      </c>
      <c r="F167" s="9">
        <v>2.5</v>
      </c>
      <c r="G167" s="9">
        <v>3.55</v>
      </c>
      <c r="H167" s="9">
        <v>1</v>
      </c>
      <c r="I167" s="12">
        <v>3.7989999999999999</v>
      </c>
      <c r="J167" s="2">
        <v>4</v>
      </c>
      <c r="K167" s="10">
        <f>+$C$3*(1+(I167/100))^10</f>
        <v>1451883.2514888637</v>
      </c>
    </row>
    <row r="168" spans="1:11">
      <c r="A168">
        <v>2</v>
      </c>
      <c r="B168" s="2" t="s">
        <v>12</v>
      </c>
      <c r="C168" s="2" t="s">
        <v>13</v>
      </c>
      <c r="D168" s="2">
        <v>10</v>
      </c>
      <c r="E168" s="3">
        <v>2000</v>
      </c>
      <c r="F168" s="9">
        <v>2.5</v>
      </c>
      <c r="G168" s="9">
        <v>3.55</v>
      </c>
      <c r="H168" s="9">
        <v>0.75</v>
      </c>
      <c r="I168" s="12">
        <v>3.625</v>
      </c>
      <c r="J168" s="2">
        <v>7</v>
      </c>
      <c r="K168" s="10">
        <f>+$C$3*(1+(I168/100))^10</f>
        <v>1427727.8644938469</v>
      </c>
    </row>
    <row r="169" spans="1:11">
      <c r="A169">
        <v>347</v>
      </c>
      <c r="B169" s="2" t="s">
        <v>108</v>
      </c>
      <c r="C169" s="2" t="s">
        <v>109</v>
      </c>
      <c r="D169" s="2">
        <v>3</v>
      </c>
      <c r="E169" s="3">
        <v>100000</v>
      </c>
      <c r="F169" s="9">
        <v>1.1499999999999999</v>
      </c>
      <c r="G169" s="9">
        <v>3.55</v>
      </c>
      <c r="H169" s="9">
        <v>0</v>
      </c>
      <c r="I169" s="12">
        <v>3.55</v>
      </c>
      <c r="J169" s="2">
        <v>3</v>
      </c>
      <c r="K169" s="10">
        <f>+$C$3*(1+(I169/100))^10</f>
        <v>1417428.0805894074</v>
      </c>
    </row>
    <row r="170" spans="1:11">
      <c r="A170">
        <v>193</v>
      </c>
      <c r="B170" s="2" t="s">
        <v>74</v>
      </c>
      <c r="C170" s="2" t="s">
        <v>131</v>
      </c>
      <c r="D170" s="2">
        <v>5</v>
      </c>
      <c r="E170" s="3">
        <v>100000</v>
      </c>
      <c r="F170" s="9">
        <v>3</v>
      </c>
      <c r="G170" s="9">
        <v>3.5</v>
      </c>
      <c r="H170" s="9">
        <v>1</v>
      </c>
      <c r="I170" s="12">
        <v>3.706</v>
      </c>
      <c r="J170" s="2">
        <v>5</v>
      </c>
      <c r="K170" s="10">
        <f>+$C$3*(1+(I170/100))^10</f>
        <v>1438927.24588909</v>
      </c>
    </row>
    <row r="171" spans="1:11">
      <c r="A171">
        <v>49</v>
      </c>
      <c r="B171" s="2" t="s">
        <v>12</v>
      </c>
      <c r="C171" s="2" t="s">
        <v>16</v>
      </c>
      <c r="D171" s="2">
        <v>7</v>
      </c>
      <c r="E171" s="3">
        <v>20000</v>
      </c>
      <c r="F171" s="9">
        <v>2.5</v>
      </c>
      <c r="G171" s="9">
        <v>3.5</v>
      </c>
      <c r="H171" s="9">
        <v>1</v>
      </c>
      <c r="I171" s="12">
        <v>3.6419999999999999</v>
      </c>
      <c r="J171" s="2">
        <v>7</v>
      </c>
      <c r="K171" s="10">
        <f>+$C$3*(1+(I171/100))^10</f>
        <v>1430071.8258553094</v>
      </c>
    </row>
    <row r="172" spans="1:11">
      <c r="A172">
        <v>53</v>
      </c>
      <c r="B172" s="2" t="s">
        <v>12</v>
      </c>
      <c r="C172" s="2" t="s">
        <v>57</v>
      </c>
      <c r="D172" s="2">
        <v>7</v>
      </c>
      <c r="E172" s="3">
        <v>3000</v>
      </c>
      <c r="F172" s="9">
        <v>2.5</v>
      </c>
      <c r="G172" s="9">
        <v>3.5</v>
      </c>
      <c r="H172" s="9">
        <v>1</v>
      </c>
      <c r="I172" s="12">
        <v>3.6419999999999999</v>
      </c>
      <c r="J172" s="2">
        <v>7</v>
      </c>
      <c r="K172" s="10">
        <f>+$C$3*(1+(I172/100))^10</f>
        <v>1430071.8258553094</v>
      </c>
    </row>
    <row r="173" spans="1:11">
      <c r="A173">
        <v>175</v>
      </c>
      <c r="B173" s="2" t="s">
        <v>21</v>
      </c>
      <c r="C173" s="2" t="s">
        <v>22</v>
      </c>
      <c r="D173" s="2">
        <v>5</v>
      </c>
      <c r="E173" s="3">
        <v>2000</v>
      </c>
      <c r="F173" s="9">
        <v>0</v>
      </c>
      <c r="G173" s="9">
        <v>3.5</v>
      </c>
      <c r="H173" s="9">
        <v>0</v>
      </c>
      <c r="I173" s="12">
        <v>3.5</v>
      </c>
      <c r="J173" s="2">
        <v>5</v>
      </c>
      <c r="K173" s="10">
        <f>+$C$3*(1+(I173/100))^10</f>
        <v>1410598.7606211209</v>
      </c>
    </row>
    <row r="174" spans="1:11">
      <c r="A174">
        <v>51</v>
      </c>
      <c r="B174" s="2" t="s">
        <v>12</v>
      </c>
      <c r="C174" s="2" t="s">
        <v>13</v>
      </c>
      <c r="D174" s="2">
        <v>7</v>
      </c>
      <c r="E174" s="3">
        <v>2000</v>
      </c>
      <c r="F174" s="9">
        <v>2.5</v>
      </c>
      <c r="G174" s="9">
        <v>3.35</v>
      </c>
      <c r="H174" s="9">
        <v>0.75</v>
      </c>
      <c r="I174" s="12">
        <v>3.4569999999999999</v>
      </c>
      <c r="J174" s="2">
        <v>7</v>
      </c>
      <c r="K174" s="10">
        <f>+$C$3*(1+(I174/100))^10</f>
        <v>1404749.2463819163</v>
      </c>
    </row>
    <row r="175" spans="1:11">
      <c r="A175">
        <v>246</v>
      </c>
      <c r="B175" s="2" t="s">
        <v>21</v>
      </c>
      <c r="C175" s="2" t="s">
        <v>22</v>
      </c>
      <c r="D175" s="2">
        <v>4</v>
      </c>
      <c r="E175" s="3">
        <v>2000</v>
      </c>
      <c r="F175" s="9">
        <v>0</v>
      </c>
      <c r="G175" s="9">
        <v>3.35</v>
      </c>
      <c r="H175" s="9">
        <v>0</v>
      </c>
      <c r="I175" s="12">
        <v>3.35</v>
      </c>
      <c r="J175" s="2">
        <v>4</v>
      </c>
      <c r="K175" s="10">
        <f>+$C$3*(1+(I175/100))^10</f>
        <v>1390288.1132687402</v>
      </c>
    </row>
    <row r="176" spans="1:11">
      <c r="A176">
        <v>116</v>
      </c>
      <c r="B176" s="2" t="s">
        <v>12</v>
      </c>
      <c r="C176" s="2" t="s">
        <v>13</v>
      </c>
      <c r="D176" s="2">
        <v>6</v>
      </c>
      <c r="E176" s="3">
        <v>2000</v>
      </c>
      <c r="F176" s="9">
        <v>2.5</v>
      </c>
      <c r="G176" s="9">
        <v>3.35</v>
      </c>
      <c r="H176" s="9">
        <v>0.75</v>
      </c>
      <c r="I176" s="12">
        <v>3.335</v>
      </c>
      <c r="J176" s="2">
        <v>7</v>
      </c>
      <c r="K176" s="10">
        <f>+$C$3*(1+(I176/100))^10</f>
        <v>1388271.5959407289</v>
      </c>
    </row>
    <row r="177" spans="1:11">
      <c r="A177">
        <v>305</v>
      </c>
      <c r="B177" s="2" t="s">
        <v>21</v>
      </c>
      <c r="C177" s="2" t="s">
        <v>22</v>
      </c>
      <c r="D177" s="2">
        <v>3</v>
      </c>
      <c r="E177" s="3">
        <v>2000</v>
      </c>
      <c r="F177" s="9">
        <v>0</v>
      </c>
      <c r="G177" s="9">
        <v>2.7</v>
      </c>
      <c r="H177" s="9">
        <v>0</v>
      </c>
      <c r="I177" s="12">
        <v>2.7</v>
      </c>
      <c r="J177" s="2">
        <v>3</v>
      </c>
      <c r="K177" s="10">
        <f>+$C$3*(1+(I177/100))^10</f>
        <v>1305282.2611608936</v>
      </c>
    </row>
    <row r="178" spans="1:11">
      <c r="A178">
        <v>93</v>
      </c>
      <c r="B178" s="2" t="s">
        <v>89</v>
      </c>
      <c r="C178" s="2" t="s">
        <v>91</v>
      </c>
      <c r="D178" s="2">
        <v>7</v>
      </c>
      <c r="E178" s="3">
        <v>10000</v>
      </c>
      <c r="F178" s="9">
        <v>2.4</v>
      </c>
      <c r="G178" s="9">
        <v>1.2</v>
      </c>
      <c r="H178" s="9">
        <v>3.67</v>
      </c>
      <c r="I178" s="12">
        <v>1.716</v>
      </c>
      <c r="J178" s="2">
        <v>7</v>
      </c>
      <c r="K178" s="10">
        <f>+$C$3*(1+(I178/100))^10</f>
        <v>1185475.9050379449</v>
      </c>
    </row>
    <row r="179" spans="1:11" ht="18" customHeight="1">
      <c r="A179">
        <v>215</v>
      </c>
      <c r="B179" s="2" t="s">
        <v>89</v>
      </c>
      <c r="C179" s="2" t="s">
        <v>91</v>
      </c>
      <c r="D179" s="2">
        <v>5</v>
      </c>
      <c r="E179" s="3">
        <v>10000</v>
      </c>
      <c r="F179" s="9">
        <v>2.4</v>
      </c>
      <c r="G179" s="9">
        <v>1.1000000000000001</v>
      </c>
      <c r="H179" s="9">
        <v>3.67</v>
      </c>
      <c r="I179" s="12">
        <v>4.0250000000000004</v>
      </c>
      <c r="J179" s="2">
        <v>5</v>
      </c>
      <c r="K179" s="10">
        <f>+$C$3*(1+(I179/100))^10</f>
        <v>1483806.4160182609</v>
      </c>
    </row>
  </sheetData>
  <autoFilter ref="A9:K179" xr:uid="{42790501-221E-48D7-9830-4AB2F56A4546}">
    <sortState xmlns:xlrd2="http://schemas.microsoft.com/office/spreadsheetml/2017/richdata2" ref="A10:K179">
      <sortCondition descending="1" ref="G9:G179"/>
    </sortState>
  </autoFilter>
  <sortState xmlns:xlrd2="http://schemas.microsoft.com/office/spreadsheetml/2017/richdata2" ref="A10:J179">
    <sortCondition ref="A10:A179"/>
  </sortState>
  <mergeCells count="1">
    <mergeCell ref="B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Chris Camburn</dc:creator>
  <cp:keywords/>
  <dc:description/>
  <cp:lastModifiedBy>Chris Camburn</cp:lastModifiedBy>
  <cp:revision/>
  <dcterms:created xsi:type="dcterms:W3CDTF">2026-02-05T21:03:43Z</dcterms:created>
  <dcterms:modified xsi:type="dcterms:W3CDTF">2026-02-09T15:57:26Z</dcterms:modified>
  <cp:category/>
  <cp:contentStatus/>
</cp:coreProperties>
</file>